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rbolgaryn\repos\pronto\multiconductor\data\"/>
    </mc:Choice>
  </mc:AlternateContent>
  <xr:revisionPtr revIDLastSave="0" documentId="13_ncr:1_{3F13D8D1-9424-4B21-ABF3-A35D05D0E623}" xr6:coauthVersionLast="47" xr6:coauthVersionMax="47" xr10:uidLastSave="{00000000-0000-0000-0000-000000000000}"/>
  <bookViews>
    <workbookView xWindow="-120" yWindow="-120" windowWidth="29040" windowHeight="15840" tabRatio="759" activeTab="6" xr2:uid="{00000000-000D-0000-FFFF-FFFF00000000}"/>
  </bookViews>
  <sheets>
    <sheet name="parameters" sheetId="15" r:id="rId1"/>
    <sheet name="configuration_std_type" sheetId="4" r:id="rId2"/>
    <sheet name="sequence_std_type" sheetId="13" r:id="rId3"/>
    <sheet name="matrix_std_type" sheetId="17" r:id="rId4"/>
    <sheet name="bus" sheetId="2" r:id="rId5"/>
    <sheet name="line" sheetId="5" r:id="rId6"/>
    <sheet name="asymmetric_sgen" sheetId="8" r:id="rId7"/>
    <sheet name="trafo1ph" sheetId="20" r:id="rId8"/>
    <sheet name="asymmetric_load" sheetId="7" r:id="rId9"/>
  </sheets>
  <definedNames>
    <definedName name="_xlnm._FilterDatabase" localSheetId="8" hidden="1">asymmetric_load!$D$1:$P$4</definedName>
    <definedName name="_xlnm._FilterDatabase" localSheetId="4" hidden="1">bus!$A$1:$J$9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8" l="1"/>
  <c r="H3" i="8"/>
  <c r="H2" i="8"/>
  <c r="M4" i="7"/>
  <c r="M3" i="7"/>
  <c r="M2" i="7"/>
  <c r="C3" i="8"/>
  <c r="C4" i="8"/>
  <c r="C2" i="8"/>
</calcChain>
</file>

<file path=xl/sharedStrings.xml><?xml version="1.0" encoding="utf-8"?>
<sst xmlns="http://schemas.openxmlformats.org/spreadsheetml/2006/main" count="147" uniqueCount="79">
  <si>
    <t>type</t>
  </si>
  <si>
    <t>r_ohm_per_km</t>
  </si>
  <si>
    <t>x_ohm_per_km</t>
  </si>
  <si>
    <t>r0_ohm_per_km</t>
  </si>
  <si>
    <t>x0_ohm_per_km</t>
  </si>
  <si>
    <t>c_nf_per_km</t>
  </si>
  <si>
    <t>c0_nf_per_km</t>
  </si>
  <si>
    <t>max_i_ka</t>
  </si>
  <si>
    <t>vn_kv</t>
  </si>
  <si>
    <t>name</t>
  </si>
  <si>
    <t>x_m</t>
  </si>
  <si>
    <t>y_m</t>
  </si>
  <si>
    <t>from_bus</t>
  </si>
  <si>
    <t>to_bus</t>
  </si>
  <si>
    <t>std_type</t>
  </si>
  <si>
    <t>length_km</t>
  </si>
  <si>
    <t>sn_mva</t>
  </si>
  <si>
    <t>bus</t>
  </si>
  <si>
    <t>cost</t>
  </si>
  <si>
    <t>q_mvar</t>
  </si>
  <si>
    <t>p_mw</t>
  </si>
  <si>
    <t>rho_ohmm</t>
  </si>
  <si>
    <t>tol_vmag_pu</t>
  </si>
  <si>
    <t>tol_vang_rad</t>
  </si>
  <si>
    <t>max_iter</t>
  </si>
  <si>
    <t>f_hz</t>
  </si>
  <si>
    <t>index</t>
  </si>
  <si>
    <t>scaling</t>
  </si>
  <si>
    <t>in_service</t>
  </si>
  <si>
    <t>from_phase</t>
  </si>
  <si>
    <t>to_phase</t>
  </si>
  <si>
    <t>vm_pu</t>
  </si>
  <si>
    <t>slack</t>
  </si>
  <si>
    <t>b</t>
  </si>
  <si>
    <t>zone</t>
  </si>
  <si>
    <t>const_z_percent_p</t>
  </si>
  <si>
    <t>const_i_percent_p</t>
  </si>
  <si>
    <t>const_z_percent_q</t>
  </si>
  <si>
    <t>const_i_percent_q</t>
  </si>
  <si>
    <t>ol</t>
  </si>
  <si>
    <t>circuit</t>
  </si>
  <si>
    <t>vk_percent</t>
  </si>
  <si>
    <t>vkr_percent</t>
  </si>
  <si>
    <t>pfe_kw</t>
  </si>
  <si>
    <t>i0_percent</t>
  </si>
  <si>
    <t>tap_step_percent</t>
  </si>
  <si>
    <t>tap_pos</t>
  </si>
  <si>
    <t>tap_neutral</t>
  </si>
  <si>
    <t>tap_max</t>
  </si>
  <si>
    <t>tap_min</t>
  </si>
  <si>
    <t>grounded</t>
  </si>
  <si>
    <t>conductor_outer_diameter_m</t>
  </si>
  <si>
    <t>grounding_r_ohm</t>
  </si>
  <si>
    <t>grounding_x_ohm</t>
  </si>
  <si>
    <t>phase</t>
  </si>
  <si>
    <t>a</t>
  </si>
  <si>
    <t>gmr_coefficient</t>
  </si>
  <si>
    <t>r_dc_ohm_per_km</t>
  </si>
  <si>
    <t>g_us_per_km</t>
  </si>
  <si>
    <t>r_1_ohm_per_km</t>
  </si>
  <si>
    <t>b_1_us_per_km</t>
  </si>
  <si>
    <t>x_1_ohm_per_km</t>
  </si>
  <si>
    <t>r_2_ohm_per_km</t>
  </si>
  <si>
    <t>x_2_ohm_per_km</t>
  </si>
  <si>
    <t>r_3_ohm_per_km</t>
  </si>
  <si>
    <t>x_3_ohm_per_km</t>
  </si>
  <si>
    <t>r_4_ohm_per_km</t>
  </si>
  <si>
    <t>x_4_ohm_per_km</t>
  </si>
  <si>
    <t>g_1_us_per_km</t>
  </si>
  <si>
    <t>g_2_us_per_km</t>
  </si>
  <si>
    <t>b_2_us_per_km</t>
  </si>
  <si>
    <t>g_3_us_per_km</t>
  </si>
  <si>
    <t>b_3_us_per_km</t>
  </si>
  <si>
    <t>g_4_us_per_km</t>
  </si>
  <si>
    <t>b_4_us_per_km</t>
  </si>
  <si>
    <t>model_type</t>
  </si>
  <si>
    <t>sequence</t>
  </si>
  <si>
    <t>NA2XS2Y</t>
  </si>
  <si>
    <t>load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</si>
</sst>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000"/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6" fontId="0" fillId="4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6" fontId="0" fillId="6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A2" sqref="A2"/>
    </sheetView>
  </sheetViews>
  <sheetFormatPr baseColWidth="10" defaultColWidth="9.140625" defaultRowHeight="15" x14ac:dyDescent="0.25"/>
  <cols>
    <col min="2" max="2" width="4.7109375" bestFit="1" customWidth="1"/>
    <col min="3" max="4" width="10.7109375" bestFit="1" customWidth="1"/>
    <col min="5" max="6" width="12.42578125" bestFit="1" customWidth="1"/>
    <col min="7" max="7" width="8.85546875" bestFit="1" customWidth="1"/>
  </cols>
  <sheetData>
    <row r="1" spans="1:7" x14ac:dyDescent="0.25">
      <c r="A1" t="s">
        <v>26</v>
      </c>
      <c r="B1" s="1" t="s">
        <v>25</v>
      </c>
      <c r="C1" s="1" t="s">
        <v>21</v>
      </c>
      <c r="D1" s="1" t="s">
        <v>16</v>
      </c>
      <c r="E1" s="1" t="s">
        <v>22</v>
      </c>
      <c r="F1" s="1" t="s">
        <v>23</v>
      </c>
      <c r="G1" s="1" t="s">
        <v>24</v>
      </c>
    </row>
    <row r="2" spans="1:7" x14ac:dyDescent="0.25">
      <c r="A2">
        <v>0</v>
      </c>
      <c r="B2" s="4">
        <v>50</v>
      </c>
      <c r="C2" s="4">
        <v>0.1</v>
      </c>
      <c r="D2" s="5">
        <v>1</v>
      </c>
      <c r="E2" s="6">
        <v>1.0000000000000001E-9</v>
      </c>
      <c r="F2" s="6">
        <v>1.0000000000000001E-9</v>
      </c>
      <c r="G2" s="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I2" sqref="I2:J5"/>
    </sheetView>
  </sheetViews>
  <sheetFormatPr baseColWidth="10" defaultColWidth="9.140625" defaultRowHeight="15" x14ac:dyDescent="0.25"/>
  <cols>
    <col min="1" max="1" width="12.85546875" bestFit="1" customWidth="1"/>
    <col min="4" max="4" width="28" bestFit="1" customWidth="1"/>
    <col min="5" max="5" width="15" bestFit="1" customWidth="1"/>
    <col min="6" max="6" width="17.5703125" bestFit="1" customWidth="1"/>
    <col min="7" max="7" width="12.7109375" bestFit="1" customWidth="1"/>
    <col min="9" max="9" width="17.42578125" bestFit="1" customWidth="1"/>
  </cols>
  <sheetData>
    <row r="1" spans="1:10" x14ac:dyDescent="0.25">
      <c r="A1" t="s">
        <v>26</v>
      </c>
      <c r="B1" s="1" t="s">
        <v>40</v>
      </c>
      <c r="C1" s="1" t="s">
        <v>9</v>
      </c>
      <c r="D1" s="1" t="s">
        <v>51</v>
      </c>
      <c r="E1" s="1" t="s">
        <v>56</v>
      </c>
      <c r="F1" s="1" t="s">
        <v>57</v>
      </c>
      <c r="G1" s="1" t="s">
        <v>58</v>
      </c>
      <c r="H1" s="1" t="s">
        <v>7</v>
      </c>
      <c r="I1" s="1" t="s">
        <v>10</v>
      </c>
      <c r="J1" s="1" t="s">
        <v>11</v>
      </c>
    </row>
    <row r="2" spans="1:10" x14ac:dyDescent="0.25">
      <c r="A2" s="1">
        <v>731</v>
      </c>
      <c r="B2" s="1">
        <v>0</v>
      </c>
      <c r="C2" s="1" t="s">
        <v>55</v>
      </c>
      <c r="D2">
        <v>1.7500000000000002E-2</v>
      </c>
      <c r="E2">
        <v>0.76685999999999999</v>
      </c>
      <c r="F2">
        <v>0.16200000000000001</v>
      </c>
      <c r="G2">
        <v>0</v>
      </c>
      <c r="H2">
        <v>0.24</v>
      </c>
      <c r="I2" s="14">
        <v>5.1999999999999998E-2</v>
      </c>
      <c r="J2" s="14">
        <v>0.152</v>
      </c>
    </row>
    <row r="3" spans="1:10" x14ac:dyDescent="0.25">
      <c r="A3" s="1">
        <v>731</v>
      </c>
      <c r="B3" s="1">
        <v>1</v>
      </c>
      <c r="C3" s="1" t="s">
        <v>55</v>
      </c>
      <c r="D3">
        <v>1.7500000000000002E-2</v>
      </c>
      <c r="E3">
        <v>0.76685999999999999</v>
      </c>
      <c r="F3">
        <v>0.16200000000000001</v>
      </c>
      <c r="G3">
        <v>0</v>
      </c>
      <c r="H3">
        <v>0.24</v>
      </c>
      <c r="I3" s="14">
        <v>0</v>
      </c>
      <c r="J3" s="14">
        <v>0.152</v>
      </c>
    </row>
    <row r="4" spans="1:10" x14ac:dyDescent="0.25">
      <c r="A4" s="1">
        <v>731</v>
      </c>
      <c r="B4" s="1">
        <v>2</v>
      </c>
      <c r="C4" s="1" t="s">
        <v>55</v>
      </c>
      <c r="D4">
        <v>1.7500000000000002E-2</v>
      </c>
      <c r="E4">
        <v>0.76685999999999999</v>
      </c>
      <c r="F4">
        <v>0.16200000000000001</v>
      </c>
      <c r="G4">
        <v>0</v>
      </c>
      <c r="H4">
        <v>0.24</v>
      </c>
      <c r="I4" s="14">
        <v>5.1999999999999998E-2</v>
      </c>
      <c r="J4" s="14">
        <v>0.1</v>
      </c>
    </row>
    <row r="5" spans="1:10" x14ac:dyDescent="0.25">
      <c r="A5" s="1">
        <v>731</v>
      </c>
      <c r="B5" s="1">
        <v>3</v>
      </c>
      <c r="C5" s="1" t="s">
        <v>55</v>
      </c>
      <c r="D5">
        <v>1.7500000000000002E-2</v>
      </c>
      <c r="E5">
        <v>0.76685999999999999</v>
      </c>
      <c r="F5">
        <v>0.16200000000000001</v>
      </c>
      <c r="G5">
        <v>0</v>
      </c>
      <c r="H5">
        <v>0.24</v>
      </c>
      <c r="I5" s="14">
        <v>0</v>
      </c>
      <c r="J5" s="14">
        <v>0.1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zoomScaleNormal="100" workbookViewId="0">
      <selection activeCell="C2" sqref="C2"/>
    </sheetView>
  </sheetViews>
  <sheetFormatPr baseColWidth="10" defaultColWidth="9.140625" defaultRowHeight="15" x14ac:dyDescent="0.25"/>
  <cols>
    <col min="1" max="1" width="6" bestFit="1" customWidth="1"/>
    <col min="2" max="2" width="6" customWidth="1"/>
    <col min="3" max="3" width="14.42578125" bestFit="1" customWidth="1"/>
    <col min="4" max="4" width="14.7109375" bestFit="1" customWidth="1"/>
    <col min="5" max="5" width="15.42578125" bestFit="1" customWidth="1"/>
    <col min="6" max="6" width="15.7109375" bestFit="1" customWidth="1"/>
    <col min="7" max="7" width="12.42578125" bestFit="1" customWidth="1"/>
    <col min="8" max="8" width="13.42578125" bestFit="1" customWidth="1"/>
    <col min="9" max="9" width="9.28515625" bestFit="1" customWidth="1"/>
    <col min="14" max="14" width="8.85546875" customWidth="1"/>
    <col min="16" max="16" width="8.85546875" customWidth="1"/>
    <col min="18" max="18" width="8.85546875" customWidth="1"/>
    <col min="22" max="35" width="8.85546875" customWidth="1"/>
  </cols>
  <sheetData>
    <row r="1" spans="1:9" x14ac:dyDescent="0.25">
      <c r="A1" s="1" t="s">
        <v>26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101</v>
      </c>
      <c r="B2" s="1" t="s">
        <v>55</v>
      </c>
      <c r="C2" s="1">
        <v>0.1</v>
      </c>
      <c r="D2" s="1">
        <v>0.2</v>
      </c>
      <c r="E2" s="1">
        <v>0.05</v>
      </c>
      <c r="F2" s="1">
        <v>0.1</v>
      </c>
      <c r="G2" s="1">
        <v>100</v>
      </c>
      <c r="H2" s="1">
        <v>50</v>
      </c>
      <c r="I2" s="1">
        <v>0.2</v>
      </c>
    </row>
    <row r="3" spans="1:9" x14ac:dyDescent="0.25">
      <c r="A3" s="1">
        <v>1001</v>
      </c>
      <c r="B3" s="1" t="s">
        <v>77</v>
      </c>
      <c r="C3">
        <v>0.161</v>
      </c>
      <c r="D3">
        <v>0.11700000000000001</v>
      </c>
      <c r="E3">
        <v>0.64400000000000002</v>
      </c>
      <c r="F3">
        <v>0.46800000000000003</v>
      </c>
      <c r="G3">
        <v>273</v>
      </c>
      <c r="H3">
        <v>273</v>
      </c>
      <c r="I3">
        <v>0.36199999999999999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7"/>
  <sheetViews>
    <sheetView workbookViewId="0">
      <selection activeCell="L18" sqref="L18"/>
    </sheetView>
  </sheetViews>
  <sheetFormatPr baseColWidth="10" defaultColWidth="10.7109375" defaultRowHeight="15" x14ac:dyDescent="0.25"/>
  <cols>
    <col min="1" max="1" width="5.7109375" bestFit="1" customWidth="1"/>
    <col min="2" max="2" width="6.28515625" bestFit="1" customWidth="1"/>
    <col min="3" max="3" width="9.28515625" bestFit="1" customWidth="1"/>
    <col min="4" max="4" width="18.85546875" bestFit="1" customWidth="1"/>
    <col min="5" max="5" width="19.140625" bestFit="1" customWidth="1"/>
    <col min="6" max="6" width="18.85546875" bestFit="1" customWidth="1"/>
    <col min="7" max="7" width="19.140625" bestFit="1" customWidth="1"/>
    <col min="8" max="8" width="18.85546875" bestFit="1" customWidth="1"/>
    <col min="9" max="9" width="19.140625" bestFit="1" customWidth="1"/>
    <col min="10" max="10" width="18.85546875" bestFit="1" customWidth="1"/>
    <col min="11" max="11" width="19.140625" bestFit="1" customWidth="1"/>
    <col min="12" max="12" width="22.7109375" bestFit="1" customWidth="1"/>
    <col min="13" max="13" width="22.85546875" bestFit="1" customWidth="1"/>
    <col min="14" max="14" width="22.7109375" bestFit="1" customWidth="1"/>
    <col min="15" max="15" width="22.85546875" bestFit="1" customWidth="1"/>
    <col min="16" max="16" width="22.7109375" bestFit="1" customWidth="1"/>
    <col min="17" max="17" width="22.85546875" bestFit="1" customWidth="1"/>
    <col min="18" max="18" width="22.7109375" bestFit="1" customWidth="1"/>
    <col min="19" max="19" width="22.85546875" bestFit="1" customWidth="1"/>
  </cols>
  <sheetData>
    <row r="1" spans="1:19" x14ac:dyDescent="0.25">
      <c r="A1" s="1" t="s">
        <v>26</v>
      </c>
      <c r="B1" s="1" t="s">
        <v>40</v>
      </c>
      <c r="C1" s="1" t="s">
        <v>7</v>
      </c>
      <c r="D1" s="7" t="s">
        <v>59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7" t="s">
        <v>60</v>
      </c>
      <c r="N1" s="7" t="s">
        <v>69</v>
      </c>
      <c r="O1" s="7" t="s">
        <v>70</v>
      </c>
      <c r="P1" s="7" t="s">
        <v>71</v>
      </c>
      <c r="Q1" s="7" t="s">
        <v>72</v>
      </c>
      <c r="R1" s="7" t="s">
        <v>73</v>
      </c>
      <c r="S1" s="7" t="s">
        <v>74</v>
      </c>
    </row>
    <row r="2" spans="1:19" x14ac:dyDescent="0.25">
      <c r="A2" s="8">
        <v>601</v>
      </c>
      <c r="B2" s="8">
        <v>0</v>
      </c>
      <c r="C2" s="8">
        <v>1</v>
      </c>
      <c r="D2" s="9">
        <v>0.21530565324915801</v>
      </c>
      <c r="E2" s="9">
        <v>0.63249530863583836</v>
      </c>
      <c r="F2" s="10">
        <v>9.6934146917369859E-2</v>
      </c>
      <c r="G2" s="10">
        <v>0.31174270197720805</v>
      </c>
      <c r="H2" s="10">
        <v>9.8176892390669471E-2</v>
      </c>
      <c r="I2" s="10">
        <v>0.2632134912448581</v>
      </c>
      <c r="J2" s="10">
        <v>9.8176892390669471E-2</v>
      </c>
      <c r="K2" s="10">
        <v>0.2632134912448581</v>
      </c>
      <c r="L2" s="10">
        <v>0</v>
      </c>
      <c r="M2" s="10">
        <v>3.9145239663464531</v>
      </c>
      <c r="N2" s="10">
        <v>0</v>
      </c>
      <c r="O2" s="10">
        <v>-1.2401357078056843</v>
      </c>
      <c r="P2" s="10">
        <v>0</v>
      </c>
      <c r="Q2" s="10">
        <v>-0.78261896181043156</v>
      </c>
      <c r="R2" s="10">
        <v>0</v>
      </c>
      <c r="S2" s="10">
        <v>-0.78261896181043156</v>
      </c>
    </row>
    <row r="3" spans="1:19" x14ac:dyDescent="0.25">
      <c r="A3" s="8">
        <v>601</v>
      </c>
      <c r="B3" s="8">
        <v>1</v>
      </c>
      <c r="C3" s="8">
        <v>1</v>
      </c>
      <c r="D3" s="10">
        <v>9.6934146917369859E-2</v>
      </c>
      <c r="E3" s="10">
        <v>0.31174270197720805</v>
      </c>
      <c r="F3" s="9">
        <v>0.20971329861930979</v>
      </c>
      <c r="G3" s="9">
        <v>0.65107435346166753</v>
      </c>
      <c r="H3" s="10">
        <v>9.5380715075745331E-2</v>
      </c>
      <c r="I3" s="10">
        <v>0.23916636633651064</v>
      </c>
      <c r="J3" s="10">
        <v>9.5380715075745331E-2</v>
      </c>
      <c r="K3" s="10">
        <v>0.23916636633651064</v>
      </c>
      <c r="L3" s="9">
        <v>0</v>
      </c>
      <c r="M3" s="9">
        <v>-1.2401357078056843</v>
      </c>
      <c r="N3" s="9">
        <v>0</v>
      </c>
      <c r="O3" s="9">
        <v>3.7031950986118534</v>
      </c>
      <c r="P3" s="9">
        <v>0</v>
      </c>
      <c r="Q3" s="9">
        <v>-0.46087215877316162</v>
      </c>
      <c r="R3" s="1">
        <v>0</v>
      </c>
      <c r="S3" s="13">
        <v>-0.46087215877316162</v>
      </c>
    </row>
    <row r="4" spans="1:19" x14ac:dyDescent="0.25">
      <c r="A4" s="8">
        <v>601</v>
      </c>
      <c r="B4" s="8">
        <v>2</v>
      </c>
      <c r="C4" s="8">
        <v>1</v>
      </c>
      <c r="D4" s="10">
        <v>9.8176892390669471E-2</v>
      </c>
      <c r="E4" s="10">
        <v>0.2632134912448581</v>
      </c>
      <c r="F4" s="10">
        <v>9.5380715075745331E-2</v>
      </c>
      <c r="G4" s="10">
        <v>0.23916636633651064</v>
      </c>
      <c r="H4" s="9">
        <v>0.21213665229224402</v>
      </c>
      <c r="I4" s="9">
        <v>0.64299650788522</v>
      </c>
      <c r="J4" s="10">
        <v>9.5380715075745331E-2</v>
      </c>
      <c r="K4" s="10">
        <v>0.23916636633651064</v>
      </c>
      <c r="L4" s="13">
        <v>0</v>
      </c>
      <c r="M4" s="13">
        <v>-0.78261896181043156</v>
      </c>
      <c r="N4" s="13">
        <v>0</v>
      </c>
      <c r="O4" s="13">
        <v>-0.46087215877316162</v>
      </c>
      <c r="P4" s="13">
        <v>0</v>
      </c>
      <c r="Q4" s="13">
        <v>3.5036723128736007</v>
      </c>
      <c r="R4" s="1">
        <v>0</v>
      </c>
      <c r="S4" s="13">
        <v>-0.78261896181043156</v>
      </c>
    </row>
    <row r="5" spans="1:19" x14ac:dyDescent="0.25">
      <c r="A5" s="8">
        <v>601</v>
      </c>
      <c r="B5" s="8">
        <v>3</v>
      </c>
      <c r="C5" s="8">
        <v>1</v>
      </c>
      <c r="D5" s="10">
        <v>9.8176892390669471E-2</v>
      </c>
      <c r="E5" s="10">
        <v>0.2632134912448581</v>
      </c>
      <c r="F5" s="10">
        <v>9.5380715075745331E-2</v>
      </c>
      <c r="G5" s="10">
        <v>0.23916636633651064</v>
      </c>
      <c r="H5" s="10">
        <v>9.5380715075745331E-2</v>
      </c>
      <c r="I5" s="10">
        <v>0.23916636633651064</v>
      </c>
      <c r="J5" s="9">
        <v>0.21213665229224402</v>
      </c>
      <c r="K5" s="9">
        <v>0.64299650788522</v>
      </c>
      <c r="L5" s="13">
        <v>0</v>
      </c>
      <c r="M5" s="13">
        <v>-0.78261896181043156</v>
      </c>
      <c r="N5" s="13">
        <v>0</v>
      </c>
      <c r="O5" s="13">
        <v>-0.46087215877316162</v>
      </c>
      <c r="P5" s="13">
        <v>0</v>
      </c>
      <c r="Q5" s="13">
        <v>-0.78261896181043156</v>
      </c>
      <c r="R5" s="1">
        <v>0</v>
      </c>
      <c r="S5" s="10">
        <v>3.9145239663464531</v>
      </c>
    </row>
    <row r="6" spans="1:19" x14ac:dyDescent="0.25">
      <c r="A6" s="11">
        <v>602</v>
      </c>
      <c r="B6" s="11">
        <v>1</v>
      </c>
      <c r="C6" s="11">
        <v>1</v>
      </c>
      <c r="D6" s="12">
        <v>0.4676451216026446</v>
      </c>
      <c r="E6" s="12">
        <v>0.73408975107808172</v>
      </c>
      <c r="F6" s="13">
        <v>9.8176892390669471E-2</v>
      </c>
      <c r="G6" s="13">
        <v>0.2632134912448581</v>
      </c>
      <c r="H6" s="13">
        <v>9.6934146917369859E-2</v>
      </c>
      <c r="I6" s="13">
        <v>0.23916636633651064</v>
      </c>
      <c r="J6" s="1">
        <v>0</v>
      </c>
      <c r="K6" s="1">
        <v>0</v>
      </c>
      <c r="L6" s="13">
        <v>0</v>
      </c>
      <c r="M6" s="13">
        <v>3.5412032261672484</v>
      </c>
      <c r="N6" s="13">
        <v>0</v>
      </c>
      <c r="O6" s="13">
        <v>-0.67213888923409604</v>
      </c>
      <c r="P6" s="13">
        <v>0</v>
      </c>
      <c r="Q6" s="13">
        <v>-1.0504306113064981</v>
      </c>
      <c r="R6" s="1">
        <v>0</v>
      </c>
      <c r="S6" s="1">
        <v>0</v>
      </c>
    </row>
    <row r="7" spans="1:19" x14ac:dyDescent="0.25">
      <c r="A7" s="11">
        <v>602</v>
      </c>
      <c r="B7" s="11">
        <v>2</v>
      </c>
      <c r="C7" s="11">
        <v>1</v>
      </c>
      <c r="D7" s="13">
        <v>9.8176892390669471E-2</v>
      </c>
      <c r="E7" s="13">
        <v>0.2632134912448581</v>
      </c>
      <c r="F7" s="12">
        <v>0.46447612064573057</v>
      </c>
      <c r="G7" s="12">
        <v>0.74459095032746336</v>
      </c>
      <c r="H7" s="13">
        <v>9.5380715075745331E-2</v>
      </c>
      <c r="I7" s="13">
        <v>0.23916636633651064</v>
      </c>
      <c r="J7" s="1">
        <v>0</v>
      </c>
      <c r="K7" s="1">
        <v>0</v>
      </c>
      <c r="L7" s="12">
        <v>0</v>
      </c>
      <c r="M7" s="12">
        <v>-0.67213888923409604</v>
      </c>
      <c r="N7" s="12">
        <v>0</v>
      </c>
      <c r="O7" s="12">
        <v>3.2184000894776736</v>
      </c>
      <c r="P7" s="12">
        <v>0</v>
      </c>
      <c r="Q7" s="12">
        <v>-0.4093603589048927</v>
      </c>
      <c r="R7" s="1">
        <v>0</v>
      </c>
      <c r="S7" s="1">
        <v>0</v>
      </c>
    </row>
    <row r="8" spans="1:19" x14ac:dyDescent="0.25">
      <c r="A8" s="11">
        <v>602</v>
      </c>
      <c r="B8" s="11">
        <v>3</v>
      </c>
      <c r="C8" s="11">
        <v>1</v>
      </c>
      <c r="D8" s="13">
        <v>9.6934146917369859E-2</v>
      </c>
      <c r="E8" s="13">
        <v>0.23916636633651064</v>
      </c>
      <c r="F8" s="13">
        <v>9.5380715075745331E-2</v>
      </c>
      <c r="G8" s="13">
        <v>0.23916636633651064</v>
      </c>
      <c r="H8" s="12">
        <v>0.46205276697279635</v>
      </c>
      <c r="I8" s="12">
        <v>0.75260665863024601</v>
      </c>
      <c r="J8" s="1">
        <v>0</v>
      </c>
      <c r="K8" s="1">
        <v>0</v>
      </c>
      <c r="L8" s="10">
        <v>0</v>
      </c>
      <c r="M8" s="10">
        <v>-1.0504306113064981</v>
      </c>
      <c r="N8" s="10">
        <v>0</v>
      </c>
      <c r="O8" s="10">
        <v>-0.4093603589048927</v>
      </c>
      <c r="P8" s="10">
        <v>0</v>
      </c>
      <c r="Q8" s="10">
        <v>3.3706985472305417</v>
      </c>
      <c r="R8" s="1">
        <v>0</v>
      </c>
      <c r="S8" s="1">
        <v>0</v>
      </c>
    </row>
    <row r="9" spans="1:19" x14ac:dyDescent="0.25">
      <c r="A9" s="8">
        <v>603</v>
      </c>
      <c r="B9" s="8">
        <v>1</v>
      </c>
      <c r="C9" s="8">
        <v>1</v>
      </c>
      <c r="D9" s="9">
        <v>0.82605291610225307</v>
      </c>
      <c r="E9" s="9">
        <v>0.83705121354095469</v>
      </c>
      <c r="F9" s="10">
        <v>0.12837560739185008</v>
      </c>
      <c r="G9" s="10">
        <v>0.28527222339592628</v>
      </c>
      <c r="H9" s="10">
        <v>0</v>
      </c>
      <c r="I9" s="10">
        <v>0</v>
      </c>
      <c r="J9" s="1">
        <v>0</v>
      </c>
      <c r="K9" s="1">
        <v>0</v>
      </c>
      <c r="L9" s="10">
        <v>0</v>
      </c>
      <c r="M9" s="10">
        <v>2.9264791777995947</v>
      </c>
      <c r="N9" s="10">
        <v>0</v>
      </c>
      <c r="O9" s="10">
        <v>-0.55917332571116096</v>
      </c>
      <c r="P9" s="10">
        <v>0</v>
      </c>
      <c r="Q9" s="10">
        <v>0</v>
      </c>
      <c r="R9" s="1">
        <v>0</v>
      </c>
      <c r="S9" s="1">
        <v>0</v>
      </c>
    </row>
    <row r="10" spans="1:19" x14ac:dyDescent="0.25">
      <c r="A10" s="8">
        <v>603</v>
      </c>
      <c r="B10" s="8">
        <v>2</v>
      </c>
      <c r="C10" s="8">
        <v>1</v>
      </c>
      <c r="D10" s="10">
        <v>0.12837560739185008</v>
      </c>
      <c r="E10" s="10">
        <v>0.28527222339592628</v>
      </c>
      <c r="F10" s="9">
        <v>0.82257322877701422</v>
      </c>
      <c r="G10" s="9">
        <v>0.84314066636012275</v>
      </c>
      <c r="H10" s="10">
        <v>0</v>
      </c>
      <c r="I10" s="10">
        <v>0</v>
      </c>
      <c r="J10" s="1">
        <v>0</v>
      </c>
      <c r="K10" s="1">
        <v>0</v>
      </c>
      <c r="L10" s="9">
        <v>0</v>
      </c>
      <c r="M10" s="9">
        <v>-0.55917332571116096</v>
      </c>
      <c r="N10" s="9">
        <v>0</v>
      </c>
      <c r="O10" s="9">
        <v>2.8992009146606685</v>
      </c>
      <c r="P10" s="9">
        <v>0</v>
      </c>
      <c r="Q10" s="9">
        <v>0</v>
      </c>
      <c r="R10" s="1">
        <v>0</v>
      </c>
      <c r="S10" s="1">
        <v>0</v>
      </c>
    </row>
    <row r="11" spans="1:19" x14ac:dyDescent="0.25">
      <c r="A11" s="11">
        <v>604</v>
      </c>
      <c r="B11" s="11">
        <v>1</v>
      </c>
      <c r="C11" s="11">
        <v>1</v>
      </c>
      <c r="D11" s="12">
        <v>0.82257322877701422</v>
      </c>
      <c r="E11" s="12">
        <v>0.84314066636012275</v>
      </c>
      <c r="F11" s="13">
        <v>0.12837560739185008</v>
      </c>
      <c r="G11" s="13">
        <v>0.28527222339592628</v>
      </c>
      <c r="H11" s="13">
        <v>0</v>
      </c>
      <c r="I11" s="13">
        <v>0</v>
      </c>
      <c r="J11" s="1">
        <v>0</v>
      </c>
      <c r="K11" s="1">
        <v>0</v>
      </c>
      <c r="L11" s="13">
        <v>0</v>
      </c>
      <c r="M11" s="13">
        <v>2.8992009146606685</v>
      </c>
      <c r="N11" s="13">
        <v>0</v>
      </c>
      <c r="O11" s="13">
        <v>-0.55917332571116096</v>
      </c>
      <c r="P11" s="13">
        <v>0</v>
      </c>
      <c r="Q11" s="13">
        <v>0</v>
      </c>
      <c r="R11" s="1">
        <v>0</v>
      </c>
      <c r="S11" s="1">
        <v>0</v>
      </c>
    </row>
    <row r="12" spans="1:19" x14ac:dyDescent="0.25">
      <c r="A12" s="11">
        <v>604</v>
      </c>
      <c r="B12" s="11">
        <v>2</v>
      </c>
      <c r="C12" s="11">
        <v>1</v>
      </c>
      <c r="D12" s="13">
        <v>0.12837560739185008</v>
      </c>
      <c r="E12" s="13">
        <v>0.28527222339592628</v>
      </c>
      <c r="F12" s="12">
        <v>0.82605291610225307</v>
      </c>
      <c r="G12" s="12">
        <v>0.83705121354095469</v>
      </c>
      <c r="H12" s="13">
        <v>0</v>
      </c>
      <c r="I12" s="13">
        <v>0</v>
      </c>
      <c r="J12" s="1">
        <v>0</v>
      </c>
      <c r="K12" s="1">
        <v>0</v>
      </c>
      <c r="L12" s="13">
        <v>0</v>
      </c>
      <c r="M12" s="13">
        <v>-0.55917332571116096</v>
      </c>
      <c r="N12" s="13">
        <v>0</v>
      </c>
      <c r="O12" s="13">
        <v>2.9807250177091227</v>
      </c>
      <c r="P12" s="13">
        <v>0</v>
      </c>
      <c r="Q12" s="13">
        <v>0</v>
      </c>
      <c r="R12" s="1">
        <v>0</v>
      </c>
      <c r="S12" s="1">
        <v>0</v>
      </c>
    </row>
    <row r="13" spans="1:19" x14ac:dyDescent="0.25">
      <c r="A13" s="8">
        <v>605</v>
      </c>
      <c r="B13" s="8">
        <v>1</v>
      </c>
      <c r="C13" s="8">
        <v>1</v>
      </c>
      <c r="D13" s="9">
        <v>0.82592864155492307</v>
      </c>
      <c r="E13" s="9">
        <v>0.83729976263561456</v>
      </c>
      <c r="F13" s="10">
        <v>0</v>
      </c>
      <c r="G13" s="10">
        <v>0</v>
      </c>
      <c r="H13" s="10">
        <v>0</v>
      </c>
      <c r="I13" s="10">
        <v>0</v>
      </c>
      <c r="J13" s="1">
        <v>0</v>
      </c>
      <c r="K13" s="1">
        <v>0</v>
      </c>
      <c r="L13" s="12">
        <v>0</v>
      </c>
      <c r="M13" s="12">
        <v>2.8081698087414715</v>
      </c>
      <c r="N13" s="12">
        <v>0</v>
      </c>
      <c r="O13" s="12">
        <v>0</v>
      </c>
      <c r="P13" s="12">
        <v>0</v>
      </c>
      <c r="Q13" s="12">
        <v>0</v>
      </c>
      <c r="R13" s="1">
        <v>0</v>
      </c>
      <c r="S13" s="1">
        <v>0</v>
      </c>
    </row>
    <row r="14" spans="1:19" x14ac:dyDescent="0.25">
      <c r="A14" s="11">
        <v>606</v>
      </c>
      <c r="B14" s="11">
        <v>1</v>
      </c>
      <c r="C14" s="11">
        <v>1</v>
      </c>
      <c r="D14" s="12">
        <v>0.49597971839387578</v>
      </c>
      <c r="E14" s="12">
        <v>0.27731865236680875</v>
      </c>
      <c r="F14" s="13">
        <v>0.1983421775386183</v>
      </c>
      <c r="G14" s="13">
        <v>2.0381025762113664E-2</v>
      </c>
      <c r="H14" s="13">
        <v>0.17702909267152994</v>
      </c>
      <c r="I14" s="13">
        <v>-8.8856301340922376E-3</v>
      </c>
      <c r="J14" s="1">
        <v>0</v>
      </c>
      <c r="K14" s="1">
        <v>0</v>
      </c>
      <c r="L14" s="10">
        <v>0</v>
      </c>
      <c r="M14" s="10">
        <v>60.204618042178787</v>
      </c>
      <c r="N14" s="10">
        <v>0</v>
      </c>
      <c r="O14" s="10">
        <v>0</v>
      </c>
      <c r="P14" s="10">
        <v>0</v>
      </c>
      <c r="Q14" s="10">
        <v>0</v>
      </c>
      <c r="R14" s="1">
        <v>0</v>
      </c>
      <c r="S14" s="1">
        <v>0</v>
      </c>
    </row>
    <row r="15" spans="1:19" x14ac:dyDescent="0.25">
      <c r="A15" s="11">
        <v>606</v>
      </c>
      <c r="B15" s="11">
        <v>2</v>
      </c>
      <c r="C15" s="11">
        <v>1</v>
      </c>
      <c r="D15" s="13">
        <v>0.1983421775386183</v>
      </c>
      <c r="E15" s="13">
        <v>2.0381025762113664E-2</v>
      </c>
      <c r="F15" s="12">
        <v>0.49032522649036253</v>
      </c>
      <c r="G15" s="12">
        <v>0.25109672288018692</v>
      </c>
      <c r="H15" s="13">
        <v>0.1983421775386183</v>
      </c>
      <c r="I15" s="13">
        <v>2.0381025762113664E-2</v>
      </c>
      <c r="J15" s="1">
        <v>0</v>
      </c>
      <c r="K15" s="1">
        <v>0</v>
      </c>
      <c r="L15" s="10">
        <v>0</v>
      </c>
      <c r="M15" s="10">
        <v>0</v>
      </c>
      <c r="N15" s="10">
        <v>0</v>
      </c>
      <c r="O15" s="10">
        <v>60.204618042178787</v>
      </c>
      <c r="P15" s="10">
        <v>0</v>
      </c>
      <c r="Q15" s="10">
        <v>0</v>
      </c>
      <c r="R15" s="1">
        <v>0</v>
      </c>
      <c r="S15" s="1">
        <v>0</v>
      </c>
    </row>
    <row r="16" spans="1:19" x14ac:dyDescent="0.25">
      <c r="A16" s="11">
        <v>606</v>
      </c>
      <c r="B16" s="11">
        <v>3</v>
      </c>
      <c r="C16" s="11">
        <v>1</v>
      </c>
      <c r="D16" s="13">
        <v>0.17702909267152994</v>
      </c>
      <c r="E16" s="13">
        <v>-8.8856301340922376E-3</v>
      </c>
      <c r="F16" s="13">
        <v>0.1983421775386183</v>
      </c>
      <c r="G16" s="13">
        <v>2.0381025762113664E-2</v>
      </c>
      <c r="H16" s="12">
        <v>0.49597971839387578</v>
      </c>
      <c r="I16" s="12">
        <v>0.27731865236680875</v>
      </c>
      <c r="J16" s="1">
        <v>0</v>
      </c>
      <c r="K16" s="1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60.204618042178787</v>
      </c>
      <c r="R16" s="1">
        <v>0</v>
      </c>
      <c r="S16" s="1">
        <v>0</v>
      </c>
    </row>
    <row r="17" spans="1:19" x14ac:dyDescent="0.25">
      <c r="A17" s="8">
        <v>607</v>
      </c>
      <c r="B17" s="8">
        <v>1</v>
      </c>
      <c r="C17" s="8">
        <v>1</v>
      </c>
      <c r="D17" s="9">
        <v>0.83419289895236559</v>
      </c>
      <c r="E17" s="9">
        <v>0.31839139025936097</v>
      </c>
      <c r="F17" s="10">
        <v>0</v>
      </c>
      <c r="G17" s="10">
        <v>0</v>
      </c>
      <c r="H17" s="10">
        <v>0</v>
      </c>
      <c r="I17" s="10">
        <v>0</v>
      </c>
      <c r="J17" s="1">
        <v>0</v>
      </c>
      <c r="K17" s="1">
        <v>0</v>
      </c>
      <c r="L17" s="13">
        <v>0</v>
      </c>
      <c r="M17" s="13">
        <v>55.29670548175028</v>
      </c>
      <c r="N17" s="13">
        <v>0</v>
      </c>
      <c r="O17" s="13">
        <v>0</v>
      </c>
      <c r="P17" s="13">
        <v>0</v>
      </c>
      <c r="Q17" s="13">
        <v>0</v>
      </c>
      <c r="R17" s="1">
        <v>0</v>
      </c>
      <c r="S17" s="1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B9" sqref="B9"/>
    </sheetView>
  </sheetViews>
  <sheetFormatPr baseColWidth="10" defaultColWidth="9.140625" defaultRowHeight="15" x14ac:dyDescent="0.25"/>
  <cols>
    <col min="5" max="5" width="12.42578125" bestFit="1" customWidth="1"/>
    <col min="6" max="6" width="16.85546875" bestFit="1" customWidth="1"/>
    <col min="7" max="7" width="17.140625" bestFit="1" customWidth="1"/>
    <col min="8" max="8" width="10" bestFit="1" customWidth="1"/>
  </cols>
  <sheetData>
    <row r="1" spans="1:10" x14ac:dyDescent="0.25">
      <c r="A1" s="1" t="s">
        <v>26</v>
      </c>
      <c r="B1" s="1" t="s">
        <v>54</v>
      </c>
      <c r="C1" s="1" t="s">
        <v>9</v>
      </c>
      <c r="D1" s="1" t="s">
        <v>8</v>
      </c>
      <c r="E1" s="1" t="s">
        <v>50</v>
      </c>
      <c r="F1" s="1" t="s">
        <v>52</v>
      </c>
      <c r="G1" s="1" t="s">
        <v>53</v>
      </c>
      <c r="H1" s="1" t="s">
        <v>28</v>
      </c>
      <c r="I1" s="1" t="s">
        <v>0</v>
      </c>
      <c r="J1" s="1" t="s">
        <v>34</v>
      </c>
    </row>
    <row r="2" spans="1:10" x14ac:dyDescent="0.25">
      <c r="A2" s="1">
        <v>0</v>
      </c>
      <c r="B2" s="1">
        <v>0</v>
      </c>
      <c r="C2" s="1">
        <v>650</v>
      </c>
      <c r="D2" s="1">
        <v>0.4</v>
      </c>
      <c r="E2" s="2" t="b">
        <v>1</v>
      </c>
      <c r="F2" s="1">
        <v>0</v>
      </c>
      <c r="G2" s="1">
        <v>0</v>
      </c>
      <c r="H2" t="b">
        <v>1</v>
      </c>
      <c r="I2" t="s">
        <v>33</v>
      </c>
      <c r="J2">
        <v>0</v>
      </c>
    </row>
    <row r="3" spans="1:10" x14ac:dyDescent="0.25">
      <c r="A3" s="1">
        <v>0</v>
      </c>
      <c r="B3" s="1">
        <v>1</v>
      </c>
      <c r="C3" s="1">
        <v>650</v>
      </c>
      <c r="D3" s="1">
        <v>0.4</v>
      </c>
      <c r="E3" s="2" t="b">
        <v>0</v>
      </c>
      <c r="F3" s="2"/>
      <c r="G3" s="2"/>
      <c r="H3" t="b">
        <v>1</v>
      </c>
      <c r="I3" t="s">
        <v>33</v>
      </c>
      <c r="J3">
        <v>0</v>
      </c>
    </row>
    <row r="4" spans="1:10" x14ac:dyDescent="0.25">
      <c r="A4" s="1">
        <v>0</v>
      </c>
      <c r="B4" s="1">
        <v>2</v>
      </c>
      <c r="C4" s="1">
        <v>650</v>
      </c>
      <c r="D4" s="1">
        <v>0.4</v>
      </c>
      <c r="E4" s="2" t="b">
        <v>0</v>
      </c>
      <c r="F4" s="2"/>
      <c r="G4" s="2"/>
      <c r="H4" t="b">
        <v>1</v>
      </c>
      <c r="I4" t="s">
        <v>33</v>
      </c>
      <c r="J4">
        <v>0</v>
      </c>
    </row>
    <row r="5" spans="1:10" x14ac:dyDescent="0.25">
      <c r="A5" s="1">
        <v>0</v>
      </c>
      <c r="B5" s="1">
        <v>3</v>
      </c>
      <c r="C5" s="1">
        <v>650</v>
      </c>
      <c r="D5" s="1">
        <v>0.4</v>
      </c>
      <c r="E5" s="2" t="b">
        <v>0</v>
      </c>
      <c r="F5" s="2"/>
      <c r="G5" s="2"/>
      <c r="H5" t="b">
        <v>1</v>
      </c>
      <c r="I5" t="s">
        <v>33</v>
      </c>
      <c r="J5">
        <v>0</v>
      </c>
    </row>
    <row r="6" spans="1:10" x14ac:dyDescent="0.25">
      <c r="A6" s="1">
        <v>1</v>
      </c>
      <c r="B6" s="1">
        <v>0</v>
      </c>
      <c r="C6" s="1">
        <v>632</v>
      </c>
      <c r="D6" s="1">
        <v>0.4</v>
      </c>
      <c r="E6" s="2" t="b">
        <v>1</v>
      </c>
      <c r="F6" s="1">
        <v>0</v>
      </c>
      <c r="G6" s="1">
        <v>0</v>
      </c>
      <c r="H6" t="b">
        <v>1</v>
      </c>
      <c r="I6" t="s">
        <v>33</v>
      </c>
      <c r="J6">
        <v>0</v>
      </c>
    </row>
    <row r="7" spans="1:10" x14ac:dyDescent="0.25">
      <c r="A7" s="1">
        <v>1</v>
      </c>
      <c r="B7" s="1">
        <v>1</v>
      </c>
      <c r="C7" s="1">
        <v>632</v>
      </c>
      <c r="D7" s="1">
        <v>0.4</v>
      </c>
      <c r="E7" s="2" t="b">
        <v>0</v>
      </c>
      <c r="F7" s="2"/>
      <c r="G7" s="2"/>
      <c r="H7" t="b">
        <v>1</v>
      </c>
      <c r="I7" t="s">
        <v>33</v>
      </c>
      <c r="J7">
        <v>0</v>
      </c>
    </row>
    <row r="8" spans="1:10" x14ac:dyDescent="0.25">
      <c r="A8" s="1">
        <v>1</v>
      </c>
      <c r="B8" s="1">
        <v>2</v>
      </c>
      <c r="C8" s="1">
        <v>632</v>
      </c>
      <c r="D8" s="1">
        <v>0.4</v>
      </c>
      <c r="E8" s="2" t="b">
        <v>0</v>
      </c>
      <c r="F8" s="2"/>
      <c r="G8" s="2"/>
      <c r="H8" t="b">
        <v>1</v>
      </c>
      <c r="I8" t="s">
        <v>33</v>
      </c>
      <c r="J8">
        <v>0</v>
      </c>
    </row>
    <row r="9" spans="1:10" x14ac:dyDescent="0.25">
      <c r="A9" s="1">
        <v>1</v>
      </c>
      <c r="B9" s="1">
        <v>3</v>
      </c>
      <c r="C9" s="1">
        <v>632</v>
      </c>
      <c r="D9" s="1">
        <v>0.4</v>
      </c>
      <c r="E9" s="2" t="b">
        <v>0</v>
      </c>
      <c r="F9" s="2"/>
      <c r="G9" s="2"/>
      <c r="H9" t="b">
        <v>1</v>
      </c>
      <c r="I9" t="s">
        <v>33</v>
      </c>
      <c r="J9">
        <v>0</v>
      </c>
    </row>
  </sheetData>
  <dataConsolidate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zoomScaleNormal="100" workbookViewId="0">
      <selection activeCell="H4" sqref="H4"/>
    </sheetView>
  </sheetViews>
  <sheetFormatPr baseColWidth="10" defaultColWidth="9.140625" defaultRowHeight="15" x14ac:dyDescent="0.25"/>
  <cols>
    <col min="1" max="2" width="8.85546875" customWidth="1"/>
    <col min="3" max="3" width="5.5703125" bestFit="1" customWidth="1"/>
    <col min="4" max="4" width="8.7109375" bestFit="1" customWidth="1"/>
    <col min="5" max="5" width="8.7109375" customWidth="1"/>
    <col min="6" max="6" width="8.85546875" bestFit="1" customWidth="1"/>
    <col min="7" max="7" width="14.5703125" bestFit="1" customWidth="1"/>
    <col min="8" max="8" width="6.5703125" bestFit="1" customWidth="1"/>
    <col min="9" max="9" width="12.140625" bestFit="1" customWidth="1"/>
    <col min="10" max="10" width="10.42578125" bestFit="1" customWidth="1"/>
  </cols>
  <sheetData>
    <row r="1" spans="1:12" x14ac:dyDescent="0.25">
      <c r="A1" s="1" t="s">
        <v>26</v>
      </c>
      <c r="B1" s="1" t="s">
        <v>40</v>
      </c>
      <c r="C1" s="1" t="s">
        <v>9</v>
      </c>
      <c r="D1" s="1" t="s">
        <v>14</v>
      </c>
      <c r="E1" s="1" t="s">
        <v>75</v>
      </c>
      <c r="F1" s="1" t="s">
        <v>12</v>
      </c>
      <c r="G1" s="1" t="s">
        <v>29</v>
      </c>
      <c r="H1" s="1" t="s">
        <v>13</v>
      </c>
      <c r="I1" s="1" t="s">
        <v>30</v>
      </c>
      <c r="J1" s="1" t="s">
        <v>15</v>
      </c>
      <c r="K1" s="1" t="s">
        <v>0</v>
      </c>
      <c r="L1" s="1" t="s">
        <v>28</v>
      </c>
    </row>
    <row r="2" spans="1:12" x14ac:dyDescent="0.25">
      <c r="A2" s="1">
        <v>0</v>
      </c>
      <c r="B2" s="1">
        <v>0</v>
      </c>
      <c r="C2" s="1">
        <v>1</v>
      </c>
      <c r="D2" s="1">
        <v>101</v>
      </c>
      <c r="E2" s="1" t="s">
        <v>76</v>
      </c>
      <c r="F2" s="1">
        <v>0</v>
      </c>
      <c r="G2" s="1">
        <v>1</v>
      </c>
      <c r="H2" s="1">
        <v>1</v>
      </c>
      <c r="I2" s="1">
        <v>1</v>
      </c>
      <c r="J2" s="1">
        <v>0.5</v>
      </c>
      <c r="K2" t="s">
        <v>39</v>
      </c>
      <c r="L2" t="b">
        <v>1</v>
      </c>
    </row>
    <row r="3" spans="1:12" x14ac:dyDescent="0.25">
      <c r="A3" s="1">
        <v>0</v>
      </c>
      <c r="B3" s="1">
        <v>1</v>
      </c>
      <c r="C3" s="1">
        <v>1</v>
      </c>
      <c r="D3" s="1">
        <v>101</v>
      </c>
      <c r="E3" s="1" t="s">
        <v>76</v>
      </c>
      <c r="F3" s="1">
        <v>0</v>
      </c>
      <c r="G3" s="1">
        <v>2</v>
      </c>
      <c r="H3" s="1">
        <v>1</v>
      </c>
      <c r="I3" s="1">
        <v>2</v>
      </c>
      <c r="J3" s="1">
        <v>0.5</v>
      </c>
      <c r="K3" t="s">
        <v>39</v>
      </c>
      <c r="L3" t="b">
        <v>1</v>
      </c>
    </row>
    <row r="4" spans="1:12" x14ac:dyDescent="0.25">
      <c r="A4" s="1">
        <v>0</v>
      </c>
      <c r="B4" s="1">
        <v>2</v>
      </c>
      <c r="C4" s="1">
        <v>1</v>
      </c>
      <c r="D4" s="1">
        <v>101</v>
      </c>
      <c r="E4" s="1" t="s">
        <v>76</v>
      </c>
      <c r="F4" s="1">
        <v>0</v>
      </c>
      <c r="G4" s="1">
        <v>3</v>
      </c>
      <c r="H4" s="1">
        <v>1</v>
      </c>
      <c r="I4" s="1">
        <v>3</v>
      </c>
      <c r="J4" s="1">
        <v>0.5</v>
      </c>
      <c r="K4" t="s">
        <v>39</v>
      </c>
      <c r="L4" t="b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"/>
  <sheetViews>
    <sheetView tabSelected="1" zoomScaleNormal="100" workbookViewId="0">
      <selection activeCell="S14" sqref="S14"/>
    </sheetView>
  </sheetViews>
  <sheetFormatPr baseColWidth="10" defaultColWidth="9.140625" defaultRowHeight="15" x14ac:dyDescent="0.25"/>
  <cols>
    <col min="6" max="6" width="11.5703125" bestFit="1" customWidth="1"/>
    <col min="10" max="10" width="17.7109375" bestFit="1" customWidth="1"/>
    <col min="11" max="11" width="17.7109375" customWidth="1"/>
    <col min="12" max="12" width="17.7109375" bestFit="1" customWidth="1"/>
    <col min="13" max="13" width="17.7109375" customWidth="1"/>
  </cols>
  <sheetData>
    <row r="1" spans="1:18" s="1" customFormat="1" x14ac:dyDescent="0.25">
      <c r="A1" s="1" t="s">
        <v>26</v>
      </c>
      <c r="B1" s="1" t="s">
        <v>40</v>
      </c>
      <c r="C1" s="1" t="s">
        <v>9</v>
      </c>
      <c r="D1" s="1" t="s">
        <v>17</v>
      </c>
      <c r="E1" s="1" t="s">
        <v>31</v>
      </c>
      <c r="F1" s="1" t="s">
        <v>29</v>
      </c>
      <c r="G1" s="1" t="s">
        <v>30</v>
      </c>
      <c r="H1" s="1" t="s">
        <v>20</v>
      </c>
      <c r="I1" s="1" t="s">
        <v>19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16</v>
      </c>
      <c r="O1" s="1" t="s">
        <v>27</v>
      </c>
      <c r="P1" s="1" t="s">
        <v>0</v>
      </c>
      <c r="Q1" s="1" t="s">
        <v>28</v>
      </c>
      <c r="R1" s="1" t="s">
        <v>32</v>
      </c>
    </row>
    <row r="2" spans="1:18" x14ac:dyDescent="0.25">
      <c r="A2">
        <v>0</v>
      </c>
      <c r="B2">
        <v>0</v>
      </c>
      <c r="C2" t="str">
        <f>"gen" &amp; D2</f>
        <v>gen0</v>
      </c>
      <c r="D2">
        <v>0</v>
      </c>
      <c r="E2">
        <v>1</v>
      </c>
      <c r="F2">
        <v>1</v>
      </c>
      <c r="G2">
        <v>0</v>
      </c>
      <c r="H2">
        <f>1000/3</f>
        <v>333.33333333333331</v>
      </c>
      <c r="I2">
        <v>0</v>
      </c>
      <c r="J2">
        <v>100</v>
      </c>
      <c r="K2">
        <v>0</v>
      </c>
      <c r="L2">
        <v>100</v>
      </c>
      <c r="M2">
        <v>0</v>
      </c>
      <c r="N2">
        <v>120</v>
      </c>
      <c r="O2">
        <v>1</v>
      </c>
      <c r="P2" t="s">
        <v>18</v>
      </c>
      <c r="Q2" t="b">
        <v>1</v>
      </c>
      <c r="R2" t="b">
        <v>1</v>
      </c>
    </row>
    <row r="3" spans="1:18" x14ac:dyDescent="0.25">
      <c r="A3">
        <v>0</v>
      </c>
      <c r="B3">
        <v>1</v>
      </c>
      <c r="C3" t="str">
        <f t="shared" ref="C3:C4" si="0">"gen" &amp; D3</f>
        <v>gen0</v>
      </c>
      <c r="D3">
        <v>0</v>
      </c>
      <c r="E3">
        <v>1</v>
      </c>
      <c r="F3">
        <v>2</v>
      </c>
      <c r="G3">
        <v>0</v>
      </c>
      <c r="H3">
        <f t="shared" ref="H3:H4" si="1">1000/3</f>
        <v>333.33333333333331</v>
      </c>
      <c r="I3">
        <v>0</v>
      </c>
      <c r="J3">
        <v>100</v>
      </c>
      <c r="K3">
        <v>0</v>
      </c>
      <c r="L3">
        <v>100</v>
      </c>
      <c r="M3">
        <v>0</v>
      </c>
      <c r="N3">
        <v>120</v>
      </c>
      <c r="O3">
        <v>1</v>
      </c>
      <c r="P3" t="s">
        <v>18</v>
      </c>
      <c r="Q3" t="b">
        <v>1</v>
      </c>
      <c r="R3" t="b">
        <v>1</v>
      </c>
    </row>
    <row r="4" spans="1:18" x14ac:dyDescent="0.25">
      <c r="A4">
        <v>0</v>
      </c>
      <c r="B4">
        <v>2</v>
      </c>
      <c r="C4" t="str">
        <f t="shared" si="0"/>
        <v>gen0</v>
      </c>
      <c r="D4">
        <v>0</v>
      </c>
      <c r="E4">
        <v>1</v>
      </c>
      <c r="F4">
        <v>3</v>
      </c>
      <c r="G4">
        <v>0</v>
      </c>
      <c r="H4">
        <f t="shared" si="1"/>
        <v>333.33333333333331</v>
      </c>
      <c r="I4">
        <v>0</v>
      </c>
      <c r="J4">
        <v>100</v>
      </c>
      <c r="K4">
        <v>0</v>
      </c>
      <c r="L4">
        <v>100</v>
      </c>
      <c r="M4">
        <v>0</v>
      </c>
      <c r="N4">
        <v>120</v>
      </c>
      <c r="O4">
        <v>1</v>
      </c>
      <c r="P4" t="s">
        <v>18</v>
      </c>
      <c r="Q4" t="b">
        <v>1</v>
      </c>
      <c r="R4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"/>
  <sheetViews>
    <sheetView zoomScale="115" zoomScaleNormal="115" workbookViewId="0">
      <selection activeCell="A2" sqref="A2:XFD7"/>
    </sheetView>
  </sheetViews>
  <sheetFormatPr baseColWidth="10" defaultColWidth="10.7109375" defaultRowHeight="15" x14ac:dyDescent="0.25"/>
  <sheetData>
    <row r="1" spans="1:17" x14ac:dyDescent="0.25">
      <c r="A1" t="s">
        <v>26</v>
      </c>
      <c r="B1" t="s">
        <v>17</v>
      </c>
      <c r="C1" t="s">
        <v>40</v>
      </c>
      <c r="D1" t="s">
        <v>29</v>
      </c>
      <c r="E1" t="s">
        <v>30</v>
      </c>
      <c r="F1" t="s">
        <v>8</v>
      </c>
      <c r="G1" t="s">
        <v>16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28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"/>
  <sheetViews>
    <sheetView zoomScaleNormal="100" workbookViewId="0">
      <selection activeCell="D4" sqref="D4"/>
    </sheetView>
  </sheetViews>
  <sheetFormatPr baseColWidth="10" defaultColWidth="9.140625" defaultRowHeight="15" x14ac:dyDescent="0.25"/>
  <cols>
    <col min="5" max="5" width="11.5703125" bestFit="1" customWidth="1"/>
    <col min="9" max="9" width="18.42578125" bestFit="1" customWidth="1"/>
    <col min="10" max="10" width="17.42578125" bestFit="1" customWidth="1"/>
    <col min="11" max="11" width="17.7109375" bestFit="1" customWidth="1"/>
    <col min="12" max="12" width="17.42578125" bestFit="1" customWidth="1"/>
    <col min="15" max="15" width="10" bestFit="1" customWidth="1"/>
  </cols>
  <sheetData>
    <row r="1" spans="1:16" x14ac:dyDescent="0.25">
      <c r="A1" t="s">
        <v>26</v>
      </c>
      <c r="B1" t="s">
        <v>40</v>
      </c>
      <c r="C1" t="s">
        <v>9</v>
      </c>
      <c r="D1" s="1" t="s">
        <v>17</v>
      </c>
      <c r="E1" s="1" t="s">
        <v>29</v>
      </c>
      <c r="F1" s="1" t="s">
        <v>30</v>
      </c>
      <c r="G1" s="1" t="s">
        <v>20</v>
      </c>
      <c r="H1" s="1" t="s">
        <v>19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</v>
      </c>
      <c r="N1" s="1" t="s">
        <v>27</v>
      </c>
      <c r="O1" s="1" t="s">
        <v>28</v>
      </c>
      <c r="P1" s="1" t="s">
        <v>0</v>
      </c>
    </row>
    <row r="2" spans="1:16" x14ac:dyDescent="0.25">
      <c r="A2">
        <v>0</v>
      </c>
      <c r="B2">
        <v>0</v>
      </c>
      <c r="C2" t="s">
        <v>78</v>
      </c>
      <c r="D2" s="1">
        <v>1</v>
      </c>
      <c r="E2" s="3">
        <v>1</v>
      </c>
      <c r="F2" s="3">
        <v>0</v>
      </c>
      <c r="G2" s="3">
        <v>0.01</v>
      </c>
      <c r="H2" s="3">
        <v>5.0000000000000001E-3</v>
      </c>
      <c r="I2" s="3">
        <v>0</v>
      </c>
      <c r="J2" s="3">
        <v>0</v>
      </c>
      <c r="K2" s="3">
        <v>0</v>
      </c>
      <c r="L2" s="3">
        <v>0</v>
      </c>
      <c r="M2" s="3">
        <f t="shared" ref="M2:M4" si="0">ROUNDUP(SQRT(G2^2+H2^2), 2)</f>
        <v>0.02</v>
      </c>
      <c r="N2" s="3">
        <v>1</v>
      </c>
      <c r="O2" s="3" t="b">
        <v>1</v>
      </c>
      <c r="P2" s="3" t="s">
        <v>18</v>
      </c>
    </row>
    <row r="3" spans="1:16" x14ac:dyDescent="0.25">
      <c r="A3">
        <v>0</v>
      </c>
      <c r="B3">
        <v>1</v>
      </c>
      <c r="C3" t="s">
        <v>78</v>
      </c>
      <c r="D3" s="1">
        <v>1</v>
      </c>
      <c r="E3" s="3">
        <v>2</v>
      </c>
      <c r="F3" s="3">
        <v>0</v>
      </c>
      <c r="G3" s="3">
        <v>0.01</v>
      </c>
      <c r="H3" s="3">
        <v>2E-3</v>
      </c>
      <c r="I3" s="3">
        <v>0</v>
      </c>
      <c r="J3" s="3">
        <v>0</v>
      </c>
      <c r="K3" s="3">
        <v>0</v>
      </c>
      <c r="L3" s="3">
        <v>0</v>
      </c>
      <c r="M3" s="3">
        <f t="shared" si="0"/>
        <v>0.02</v>
      </c>
      <c r="N3" s="3">
        <v>1</v>
      </c>
      <c r="O3" s="3" t="b">
        <v>1</v>
      </c>
      <c r="P3" s="3" t="s">
        <v>18</v>
      </c>
    </row>
    <row r="4" spans="1:16" x14ac:dyDescent="0.25">
      <c r="A4">
        <v>0</v>
      </c>
      <c r="B4">
        <v>2</v>
      </c>
      <c r="C4" t="s">
        <v>78</v>
      </c>
      <c r="D4" s="1">
        <v>1</v>
      </c>
      <c r="E4" s="3">
        <v>3</v>
      </c>
      <c r="F4" s="3">
        <v>0</v>
      </c>
      <c r="G4" s="3">
        <v>0.01</v>
      </c>
      <c r="H4" s="3">
        <v>-7.0000000000000001E-3</v>
      </c>
      <c r="I4" s="3">
        <v>0</v>
      </c>
      <c r="J4" s="3">
        <v>0</v>
      </c>
      <c r="K4" s="3">
        <v>0</v>
      </c>
      <c r="L4" s="3">
        <v>0</v>
      </c>
      <c r="M4" s="3">
        <f t="shared" si="0"/>
        <v>0.02</v>
      </c>
      <c r="N4" s="3">
        <v>1</v>
      </c>
      <c r="O4" s="3" t="b">
        <v>1</v>
      </c>
      <c r="P4" s="3" t="s">
        <v>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1E95CFDA8ED8488D3FD49E67BEB0FF" ma:contentTypeVersion="12" ma:contentTypeDescription="Creare un nuovo documento." ma:contentTypeScope="" ma:versionID="dcc9b1604aa2cb27f8705238ab9b9e74">
  <xsd:schema xmlns:xsd="http://www.w3.org/2001/XMLSchema" xmlns:xs="http://www.w3.org/2001/XMLSchema" xmlns:p="http://schemas.microsoft.com/office/2006/metadata/properties" xmlns:ns3="6134b4a6-a80e-4fb1-bb45-1b3d8322f153" xmlns:ns4="2e5f6473-bf24-4d8e-bd6a-01b44451650f" targetNamespace="http://schemas.microsoft.com/office/2006/metadata/properties" ma:root="true" ma:fieldsID="febefcec1f8162a055151690dd865f30" ns3:_="" ns4:_="">
    <xsd:import namespace="6134b4a6-a80e-4fb1-bb45-1b3d8322f153"/>
    <xsd:import namespace="2e5f6473-bf24-4d8e-bd6a-01b4445165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4b4a6-a80e-4fb1-bb45-1b3d8322f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6473-bf24-4d8e-bd6a-01b4445165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2E798D-EFAF-4D5B-9232-D74EAE62F0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4b4a6-a80e-4fb1-bb45-1b3d8322f153"/>
    <ds:schemaRef ds:uri="2e5f6473-bf24-4d8e-bd6a-01b4445165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ABAA59-47A0-40F5-8F5B-7BBC889B1F59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2e5f6473-bf24-4d8e-bd6a-01b44451650f"/>
    <ds:schemaRef ds:uri="http://purl.org/dc/terms/"/>
    <ds:schemaRef ds:uri="http://schemas.openxmlformats.org/package/2006/metadata/core-properties"/>
    <ds:schemaRef ds:uri="6134b4a6-a80e-4fb1-bb45-1b3d8322f15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0A3392C-7618-40FB-AD7D-792A24825C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parameters</vt:lpstr>
      <vt:lpstr>configuration_std_type</vt:lpstr>
      <vt:lpstr>sequence_std_type</vt:lpstr>
      <vt:lpstr>matrix_std_type</vt:lpstr>
      <vt:lpstr>bus</vt:lpstr>
      <vt:lpstr>line</vt:lpstr>
      <vt:lpstr>asymmetric_sgen</vt:lpstr>
      <vt:lpstr>trafo1ph</vt:lpstr>
      <vt:lpstr>asymmetric_load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Coppo Massimiliano</dc:creator>
  <cp:lastModifiedBy>Bolgaryn, Roman</cp:lastModifiedBy>
  <dcterms:created xsi:type="dcterms:W3CDTF">2020-06-18T10:13:13Z</dcterms:created>
  <dcterms:modified xsi:type="dcterms:W3CDTF">2023-10-13T12:56:55Z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0x010100FD1E95CFDA8ED8488D3FD49E67BEB0FF</vt:lpwstr>
  </property>
</Properties>
</file>