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xl/queryTables/queryTable5.xml" ContentType="application/vnd.openxmlformats-officedocument.spreadsheetml.queryTable+xml"/>
  <Override PartName="/xl/queryTables/queryTable6.xml" ContentType="application/vnd.openxmlformats-officedocument.spreadsheetml.queryTable+xml"/>
  <Override PartName="/xl/queryTables/queryTable7.xml" ContentType="application/vnd.openxmlformats-officedocument.spreadsheetml.queryTable+xml"/>
  <Override PartName="/xl/queryTables/queryTable8.xml" ContentType="application/vnd.openxmlformats-officedocument.spreadsheetml.queryTable+xml"/>
  <Override PartName="/xl/queryTables/queryTable9.xml" ContentType="application/vnd.openxmlformats-officedocument.spreadsheetml.queryTable+xml"/>
  <Override PartName="/xl/queryTables/queryTable10.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2"/>
  <workbookPr/>
  <mc:AlternateContent xmlns:mc="http://schemas.openxmlformats.org/markup-compatibility/2006">
    <mc:Choice Requires="x15">
      <x15ac:absPath xmlns:x15ac="http://schemas.microsoft.com/office/spreadsheetml/2010/11/ac" url="/Users/a471270/Documents/ELDAR/multiconduttore/pronto-develo-0304232/multiconductor/data/"/>
    </mc:Choice>
  </mc:AlternateContent>
  <xr:revisionPtr revIDLastSave="0" documentId="13_ncr:1_{3B656177-C760-CA4C-8F4A-24A2C59139AA}" xr6:coauthVersionLast="47" xr6:coauthVersionMax="47" xr10:uidLastSave="{00000000-0000-0000-0000-000000000000}"/>
  <bookViews>
    <workbookView xWindow="49840" yWindow="2020" windowWidth="22860" windowHeight="12300" firstSheet="7" activeTab="11" xr2:uid="{00000000-000D-0000-FFFF-FFFF00000000}"/>
  </bookViews>
  <sheets>
    <sheet name="Glossary" sheetId="14" r:id="rId1"/>
    <sheet name="General_data" sheetId="15" r:id="rId2"/>
    <sheet name="Buses" sheetId="2" r:id="rId3"/>
    <sheet name="Wiredata" sheetId="3" r:id="rId4"/>
    <sheet name="Configurations" sheetId="4" r:id="rId5"/>
    <sheet name="Configurations_mat" sheetId="12" r:id="rId6"/>
    <sheet name="Cfg_sq" sheetId="13" r:id="rId7"/>
    <sheet name="Lines" sheetId="5" r:id="rId8"/>
    <sheet name="3phTransformers" sheetId="6" r:id="rId9"/>
    <sheet name="1phTransformers" sheetId="11" r:id="rId10"/>
    <sheet name="Loads" sheetId="7" r:id="rId11"/>
    <sheet name="Generators" sheetId="8" r:id="rId12"/>
    <sheet name="P_Profiles" sheetId="9" r:id="rId13"/>
    <sheet name="Q_Profiles" sheetId="10" r:id="rId14"/>
  </sheets>
  <definedNames>
    <definedName name="_xlnm._FilterDatabase" localSheetId="10" hidden="1">Loads!$A$1:$L$1</definedName>
    <definedName name="CIGRE_LV_branches_1" localSheetId="7">Lines!$A$2:$F$12</definedName>
    <definedName name="CIGRE_LV_buses_1" localSheetId="2">Buses!$A$2:$C$14</definedName>
    <definedName name="CIGRE_LV_wiredata_1" localSheetId="3">Wiredata!$A$1:$F$1</definedName>
    <definedName name="CIGRE_LV_wiredata_1_1" localSheetId="3">Wiredata!$A$2:$F$8</definedName>
    <definedName name="UG1_2" localSheetId="4">Configurations!$B$1:$E$5</definedName>
    <definedName name="UG2_2" localSheetId="4">Configurations!$B$6:$E$9</definedName>
    <definedName name="UG3_2" localSheetId="4">Configurations!$B$10:$E$13</definedName>
    <definedName name="UG4_2" localSheetId="4">Configurations!$B$14:$E$17</definedName>
    <definedName name="UG5_2" localSheetId="4">Configurations!$B$18:$E$21</definedName>
    <definedName name="UG6_2" localSheetId="4">Configurations!$B$22:$E$25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7" i="11" l="1"/>
  <c r="F6" i="11"/>
  <c r="F5"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1000000}" name="CIGRE_LV_branches1" type="6" refreshedVersion="6" background="1" saveData="1">
    <textPr codePage="850" firstRow="2" sourceFile="Z:\Progetto\Manual\csv rete\CIGRE_LV_branches.csv" thousands="'" comma="1">
      <textFields count="4">
        <textField/>
        <textField/>
        <textField/>
        <textField/>
      </textFields>
    </textPr>
  </connection>
  <connection id="2" xr16:uid="{00000000-0015-0000-FFFF-FFFF03000000}" name="CIGRE_LV_buses1" type="6" refreshedVersion="6" background="1" saveData="1">
    <textPr fileType="dos" firstRow="2" sourceFile="Z:\Progetto\Manual\csv rete\CIGRE_LV_buses.csv" thousands="'" comma="1">
      <textFields count="3">
        <textField/>
        <textField/>
        <textField/>
      </textFields>
    </textPr>
  </connection>
  <connection id="3" xr16:uid="{00000000-0015-0000-FFFF-FFFF06000000}" name="CIGRE_LV_wiredata" type="6" refreshedVersion="6" background="1" saveData="1">
    <textPr codePage="850" sourceFile="Z:\Progetto\Manual\csv rete\CIGRE_LV_wiredata.csv" decimal="," thousands="." comma="1">
      <textFields count="6">
        <textField/>
        <textField/>
        <textField/>
        <textField/>
        <textField/>
        <textField/>
      </textFields>
    </textPr>
  </connection>
  <connection id="4" xr16:uid="{00000000-0015-0000-FFFF-FFFF07000000}" name="CIGRE_LV_wiredata1" type="6" refreshedVersion="6" background="1" saveData="1">
    <textPr codePage="850" firstRow="2" sourceFile="Z:\Progetto\Manual\csv rete\CIGRE_LV_wiredata.csv" thousands="'" comma="1">
      <textFields count="6">
        <textField/>
        <textField/>
        <textField/>
        <textField/>
        <textField/>
        <textField/>
      </textFields>
    </textPr>
  </connection>
  <connection id="5" xr16:uid="{00000000-0015-0000-FFFF-FFFF09000000}" name="UG1" type="6" refreshedVersion="6" background="1" saveData="1">
    <textPr codePage="850" sourceFile="Z:\Progetto\Manual\csv rete\UG1.csv" decimal="," thousands="." comma="1">
      <textFields count="4">
        <textField/>
        <textField/>
        <textField/>
        <textField/>
      </textFields>
    </textPr>
  </connection>
  <connection id="6" xr16:uid="{00000000-0015-0000-FFFF-FFFF0A000000}" name="UG2" type="6" refreshedVersion="6" background="1" saveData="1">
    <textPr codePage="850" sourceFile="Z:\Progetto\Manual\csv rete\UG2.csv" decimal="," thousands="." comma="1">
      <textFields count="4">
        <textField/>
        <textField/>
        <textField/>
        <textField/>
      </textFields>
    </textPr>
  </connection>
  <connection id="7" xr16:uid="{00000000-0015-0000-FFFF-FFFF0B000000}" name="UG3" type="6" refreshedVersion="6" background="1" saveData="1">
    <textPr codePage="850" sourceFile="Z:\Progetto\Manual\csv rete\UG3.csv" decimal="," thousands="." comma="1">
      <textFields count="4">
        <textField/>
        <textField/>
        <textField/>
        <textField/>
      </textFields>
    </textPr>
  </connection>
  <connection id="8" xr16:uid="{00000000-0015-0000-FFFF-FFFF0C000000}" name="UG4" type="6" refreshedVersion="6" background="1" saveData="1">
    <textPr codePage="850" sourceFile="Z:\Progetto\Manual\csv rete\UG4.csv" decimal="," thousands="." comma="1">
      <textFields count="4">
        <textField/>
        <textField/>
        <textField/>
        <textField/>
      </textFields>
    </textPr>
  </connection>
  <connection id="9" xr16:uid="{00000000-0015-0000-FFFF-FFFF0D000000}" name="UG5" type="6" refreshedVersion="6" background="1" saveData="1">
    <textPr codePage="850" sourceFile="Z:\Progetto\Manual\csv rete\UG5.csv" decimal="," thousands="." comma="1">
      <textFields count="4">
        <textField/>
        <textField/>
        <textField/>
        <textField/>
      </textFields>
    </textPr>
  </connection>
  <connection id="10" xr16:uid="{00000000-0015-0000-FFFF-FFFF0E000000}" name="UG6" type="6" refreshedVersion="6" background="1" saveData="1">
    <textPr codePage="850" sourceFile="Z:\Progetto\Manual\csv rete\UG6.csv" decimal="," thousands="." comma="1">
      <textFields count="4">
        <textField/>
        <textField/>
        <textField/>
        <textField/>
      </textFields>
    </textPr>
  </connection>
</connections>
</file>

<file path=xl/sharedStrings.xml><?xml version="1.0" encoding="utf-8"?>
<sst xmlns="http://schemas.openxmlformats.org/spreadsheetml/2006/main" count="528" uniqueCount="227">
  <si>
    <t>x</t>
  </si>
  <si>
    <t>y</t>
  </si>
  <si>
    <t>conn1</t>
  </si>
  <si>
    <t>conn2</t>
  </si>
  <si>
    <t>group</t>
  </si>
  <si>
    <t>custom</t>
  </si>
  <si>
    <t>type</t>
  </si>
  <si>
    <t>ph1_r_ohm_per_km</t>
  </si>
  <si>
    <t>ph1_x_ohm_per_km</t>
  </si>
  <si>
    <t>ph2_r_ohm_per_km</t>
  </si>
  <si>
    <t>ph2_x_ohm_per_km</t>
  </si>
  <si>
    <t>ph3_r_ohm_per_km</t>
  </si>
  <si>
    <t>ph4_x_ohm_per_km</t>
  </si>
  <si>
    <t>ph3_x_ohm_per_km</t>
  </si>
  <si>
    <t>ph4_r_ohm_per_km</t>
  </si>
  <si>
    <t>ph1_g_siemens_per_km</t>
  </si>
  <si>
    <t>ph1_b_siemens_per_km</t>
  </si>
  <si>
    <t>ph2_g_siemens_per_km</t>
  </si>
  <si>
    <t>ph2_b_siemens_per_km</t>
  </si>
  <si>
    <t>ph3_g_siemens_per_km</t>
  </si>
  <si>
    <t>ph3_b_siemens_per_km</t>
  </si>
  <si>
    <t>ph4_g_siemens_per_km</t>
  </si>
  <si>
    <t>ph4_b_siemens_per_km</t>
  </si>
  <si>
    <t>cfg_n</t>
  </si>
  <si>
    <t>r_ohm_per_km</t>
  </si>
  <si>
    <t>x_ohm_per_km</t>
  </si>
  <si>
    <t>r0_ohm_per_km</t>
  </si>
  <si>
    <t>x0_ohm_per_km</t>
  </si>
  <si>
    <t>c_nf_per_km</t>
  </si>
  <si>
    <t>c0_nf_per_km</t>
  </si>
  <si>
    <t>max_i_ka</t>
  </si>
  <si>
    <t>bus_n</t>
  </si>
  <si>
    <t>vn_kv</t>
  </si>
  <si>
    <t>earth_r_ohm</t>
  </si>
  <si>
    <t>name</t>
  </si>
  <si>
    <t>wire_n</t>
  </si>
  <si>
    <t>diam_m</t>
  </si>
  <si>
    <t>gmr</t>
  </si>
  <si>
    <t>rc_ohm</t>
  </si>
  <si>
    <t>g_s</t>
  </si>
  <si>
    <t>phase</t>
  </si>
  <si>
    <t>x_m</t>
  </si>
  <si>
    <t>y_m</t>
  </si>
  <si>
    <t>from_bus</t>
  </si>
  <si>
    <t>to_bus</t>
  </si>
  <si>
    <t>std_type</t>
  </si>
  <si>
    <t>length_km</t>
  </si>
  <si>
    <t>hv_bus</t>
  </si>
  <si>
    <t>lv_bus</t>
  </si>
  <si>
    <t>vk_percent</t>
  </si>
  <si>
    <t>vkr_percent</t>
  </si>
  <si>
    <t>pfe_kw</t>
  </si>
  <si>
    <t>i0_percent</t>
  </si>
  <si>
    <t>tap_step_percent</t>
  </si>
  <si>
    <t>tap_pos</t>
  </si>
  <si>
    <t>tap_max</t>
  </si>
  <si>
    <t>tap_min</t>
  </si>
  <si>
    <t>vrif_pu</t>
  </si>
  <si>
    <t>db_percent</t>
  </si>
  <si>
    <t>oltc_bus</t>
  </si>
  <si>
    <t>r_ohm</t>
  </si>
  <si>
    <t>x_ohm</t>
  </si>
  <si>
    <t>synchro</t>
  </si>
  <si>
    <t>vn_hv_kv</t>
  </si>
  <si>
    <t>vn_lv_kv</t>
  </si>
  <si>
    <t>sn_mva</t>
  </si>
  <si>
    <t>tr_n</t>
  </si>
  <si>
    <t>circ_n</t>
  </si>
  <si>
    <t>from_ph</t>
  </si>
  <si>
    <t>to_ph</t>
  </si>
  <si>
    <t>bus</t>
  </si>
  <si>
    <t>conn</t>
  </si>
  <si>
    <t>kzp</t>
  </si>
  <si>
    <t>kip</t>
  </si>
  <si>
    <t>kzq</t>
  </si>
  <si>
    <t>kpp</t>
  </si>
  <si>
    <t>kiq</t>
  </si>
  <si>
    <t>kpq</t>
  </si>
  <si>
    <t>cost</t>
  </si>
  <si>
    <t>Buses</t>
  </si>
  <si>
    <t>Description</t>
  </si>
  <si>
    <t>Typical numbers</t>
  </si>
  <si>
    <t>Bus number</t>
  </si>
  <si>
    <t>Neutral grounding resistance [ohm]</t>
  </si>
  <si>
    <r>
      <t xml:space="preserve">1*10 </t>
    </r>
    <r>
      <rPr>
        <vertAlign val="superscript"/>
        <sz val="11"/>
        <color theme="1"/>
        <rFont val="Arial"/>
        <family val="2"/>
      </rPr>
      <t>-10</t>
    </r>
    <r>
      <rPr>
        <sz val="11"/>
        <color theme="1"/>
        <rFont val="Arial"/>
        <family val="2"/>
      </rPr>
      <t xml:space="preserve"> ÷ 1*10</t>
    </r>
    <r>
      <rPr>
        <vertAlign val="superscript"/>
        <sz val="11"/>
        <color theme="1"/>
        <rFont val="Arial"/>
        <family val="2"/>
      </rPr>
      <t xml:space="preserve"> 10</t>
    </r>
  </si>
  <si>
    <t>Bus x-coordinate in graph</t>
  </si>
  <si>
    <t>Bus y-coordinate in graph</t>
  </si>
  <si>
    <t>Original bus numbering (for reference)</t>
  </si>
  <si>
    <t>Wiredata</t>
  </si>
  <si>
    <t>Diameter [m]</t>
  </si>
  <si>
    <t>÷</t>
  </si>
  <si>
    <t>Coefficient for GMR calculation</t>
  </si>
  <si>
    <t>0,7 ÷ 1</t>
  </si>
  <si>
    <t>DC conductor resistance [ohm/km]</t>
  </si>
  <si>
    <t xml:space="preserve">conductor conductance [S/km] </t>
  </si>
  <si>
    <t>Maximum admitted current [kA]</t>
  </si>
  <si>
    <t>Configurations</t>
  </si>
  <si>
    <t>Phase number</t>
  </si>
  <si>
    <t>(1,…, 4)</t>
  </si>
  <si>
    <t>Horizontal coordinate of respective phase [m]</t>
  </si>
  <si>
    <t>Vertical coordinate of respective phase [m]</t>
  </si>
  <si>
    <t>Lines</t>
  </si>
  <si>
    <t>Sending bus number</t>
  </si>
  <si>
    <t>Receiving bus number</t>
  </si>
  <si>
    <t>Configuration type (w ref to Configurations)</t>
  </si>
  <si>
    <t>Length</t>
  </si>
  <si>
    <t>Original line numbering (for reference)</t>
  </si>
  <si>
    <t>Transformers</t>
  </si>
  <si>
    <t>Rated primary voltage [kV]</t>
  </si>
  <si>
    <t>Rated secondary voltage [kV]</t>
  </si>
  <si>
    <t>Rated apparent power [MVA]</t>
  </si>
  <si>
    <t>Short-circuit voltage in percent</t>
  </si>
  <si>
    <t>Short-circuit power in percent</t>
  </si>
  <si>
    <t>Open circuit power losses [kW]</t>
  </si>
  <si>
    <t>Open circuit current in percent</t>
  </si>
  <si>
    <t>Primary connection type</t>
  </si>
  <si>
    <t>1 – Wye</t>
  </si>
  <si>
    <t>2 – Delta</t>
  </si>
  <si>
    <t>Secondary connection type</t>
  </si>
  <si>
    <t>Transformer group</t>
  </si>
  <si>
    <t>0 ÷ 12</t>
  </si>
  <si>
    <t>Voltage change per tap in percent</t>
  </si>
  <si>
    <t>e.g. 2.5</t>
  </si>
  <si>
    <t>Actual tap position</t>
  </si>
  <si>
    <t>e.g. 0</t>
  </si>
  <si>
    <t>Maximum tap position</t>
  </si>
  <si>
    <t>e.g. 4</t>
  </si>
  <si>
    <t>Minimum tap position</t>
  </si>
  <si>
    <t>e.g. -4</t>
  </si>
  <si>
    <t>Voltage reference for OLTC in p.u.</t>
  </si>
  <si>
    <t>0 means NO-OLTC, or OLTC out of service</t>
  </si>
  <si>
    <t>Deadband width in percent</t>
  </si>
  <si>
    <t>e.g. 3</t>
  </si>
  <si>
    <t>Controlled bus for tap adjustment</t>
  </si>
  <si>
    <t>Equivalent resistance for LDC</t>
  </si>
  <si>
    <t>Equivalent reactance for LDC</t>
  </si>
  <si>
    <t>OLTC control options</t>
  </si>
  <si>
    <t>1 – Phase-synchronous</t>
  </si>
  <si>
    <t>2 – Phase-decoupled</t>
  </si>
  <si>
    <t>Loads</t>
  </si>
  <si>
    <t>Descrizione</t>
  </si>
  <si>
    <t>Connection bus number</t>
  </si>
  <si>
    <t>Connection type</t>
  </si>
  <si>
    <t>Z-coefficient in ZIP model (active part)</t>
  </si>
  <si>
    <t>0 ÷ 1</t>
  </si>
  <si>
    <t>I-coefficient in ZIP model (active part)</t>
  </si>
  <si>
    <t>P-coefficient in ZIP model (active part)</t>
  </si>
  <si>
    <t>Z-coefficient in ZIP model (reactive part)</t>
  </si>
  <si>
    <t>I-coefficient in ZIP model (reactive part)</t>
  </si>
  <si>
    <t>P-coefficient in ZIP model (reactive part)</t>
  </si>
  <si>
    <t>Load type (string to be matched in the profiles set)</t>
  </si>
  <si>
    <t>Generators</t>
  </si>
  <si>
    <t>Active rated power</t>
  </si>
  <si>
    <t>Reactive rated power</t>
  </si>
  <si>
    <t>Generator type (string to be matched in the profiles set)</t>
  </si>
  <si>
    <t>P_profiles</t>
  </si>
  <si>
    <t>Date (format dd/mm/yy)</t>
  </si>
  <si>
    <t>Active power measured profiles [p.u.]</t>
  </si>
  <si>
    <t>each column has the load type in header</t>
  </si>
  <si>
    <t>Reactive power measured profiles [p.u.]</t>
  </si>
  <si>
    <t>phase_n</t>
  </si>
  <si>
    <t>q_mvar</t>
  </si>
  <si>
    <t>p_mw</t>
  </si>
  <si>
    <t>id</t>
  </si>
  <si>
    <t>time_step</t>
  </si>
  <si>
    <t>end_date</t>
  </si>
  <si>
    <t>end_time</t>
  </si>
  <si>
    <t>start_date</t>
  </si>
  <si>
    <t>start_time</t>
  </si>
  <si>
    <t>Number of phases per each node</t>
  </si>
  <si>
    <t>Identifies the type. Progressive and univoque number.</t>
  </si>
  <si>
    <t>Configuration number. Progressive number, that must univocally refer to a wire configuration between "Configurations", "Cfg_sq" and "Configurations_mat" sheets.</t>
  </si>
  <si>
    <t>Type of conductor (univoque ref to wiredata)</t>
  </si>
  <si>
    <t>Configurations_mat</t>
  </si>
  <si>
    <t>Cfg_sq</t>
  </si>
  <si>
    <t>1phTransformers</t>
  </si>
  <si>
    <t>Transformer number. Rows wth same tr_n number define coils of the same transformer.</t>
  </si>
  <si>
    <t>Coil number. For each winding multiple coils can be defined (e.g. a 2-winding standard 3-phase transformer is made of 3 coils hv-side and 3 coils lv-side)</t>
  </si>
  <si>
    <t>Bus number of each winding</t>
  </si>
  <si>
    <t>Coil sending phase number (winding bus number is already defined with bus_n)</t>
  </si>
  <si>
    <t>Coil receiving phase number (winding bus number is already defined with bus_n)</t>
  </si>
  <si>
    <t>Coil rated voltage [kV]</t>
  </si>
  <si>
    <t>Coil rated apparent power [MVA]</t>
  </si>
  <si>
    <t>Coil short-circuit voltage in percent</t>
  </si>
  <si>
    <t>Coil short-circuit power in percent</t>
  </si>
  <si>
    <t>Coil open circuit losses [kW]</t>
  </si>
  <si>
    <t>Active rated power [MW]</t>
  </si>
  <si>
    <t>Reactive rated power [MVar]</t>
  </si>
  <si>
    <t>Progressive index number</t>
  </si>
  <si>
    <t>Q_profiles</t>
  </si>
  <si>
    <t>General_data</t>
  </si>
  <si>
    <t>Start_Date</t>
  </si>
  <si>
    <t>Start_Time</t>
  </si>
  <si>
    <t>Time (format 24h - hh:mm:ss)</t>
  </si>
  <si>
    <t>Time step</t>
  </si>
  <si>
    <t>Time interval (format 24h - hh:mm:ss)</t>
  </si>
  <si>
    <t>End_Date</t>
  </si>
  <si>
    <t>End_Time</t>
  </si>
  <si>
    <t>gr_ph_n</t>
  </si>
  <si>
    <t>from_bus_terms</t>
  </si>
  <si>
    <t>to_bus_terms</t>
  </si>
  <si>
    <t>Phase at which grounding resistance is connected, The value "0" means that no phase is considered as grounding neutral point and grounding resistance is not connected.</t>
  </si>
  <si>
    <t xml:space="preserve">Sending bus phases (terms considered must be equal to the line conductors number). The value must be a string and phases number must be separated by a "_" </t>
  </si>
  <si>
    <t>"1_2_3" for a standard 3-wire line or "1_2_3_4" for a standard 4-wire line</t>
  </si>
  <si>
    <t>Field enabled writing "1" or 2 under "conn" field.
Connection phase at bus</t>
  </si>
  <si>
    <t>1 – Wye connected. Enables "phase" field</t>
  </si>
  <si>
    <t>2 – Delta connected. Enables "phase" field</t>
  </si>
  <si>
    <t>3 - Enables "from-ph" and "to_ph" fields</t>
  </si>
  <si>
    <t>Field enabled writing "3" under "conn" field. Phase at which the single element load is connected at one side. The value "0" means that the load is connected to the ground.</t>
  </si>
  <si>
    <t>Field enabled writing "3" under "conn" field. Phase at which the single element load is connected at the other side. The value "0" means that the load is connected to the ground.</t>
  </si>
  <si>
    <t>Field enabled writing "3" under "conn" field. Phase at which the single element gen is connected at one side. The value "0" means that the gen is connected to the ground.</t>
  </si>
  <si>
    <t>Field enabled writing "3" under "conn" field. Phase at which the single element gen is connected at the other side. The value "0" means that the gen is connected to the ground.</t>
  </si>
  <si>
    <t xml:space="preserve">Receiving bus phases (terms considered must be equal to the line conductors number). The value must be a string and phases number must be separated by a "_" </t>
  </si>
  <si>
    <t>Bus rated voltage [kV] (ph-ph or sqrt(3)*En where En is equal to 1p.u. reference voltage)</t>
  </si>
  <si>
    <t>f_hz</t>
  </si>
  <si>
    <t>rho_ohmm</t>
  </si>
  <si>
    <t>sbase_mva</t>
  </si>
  <si>
    <t>tol_vmag_pu</t>
  </si>
  <si>
    <t>tol_vang_rad</t>
  </si>
  <si>
    <t>max_iter</t>
  </si>
  <si>
    <t>ref</t>
  </si>
  <si>
    <t>v_ref_pu</t>
  </si>
  <si>
    <t>1_2_3_4</t>
  </si>
  <si>
    <t>pv</t>
  </si>
  <si>
    <t>res</t>
  </si>
  <si>
    <t>ind</t>
  </si>
  <si>
    <t>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</si>
</sst>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0"/>
    <numFmt numFmtId="165" formatCode="0.0000E+00"/>
    <numFmt numFmtId="166" formatCode="0.000"/>
    <numFmt numFmtId="167" formatCode="0.0000"/>
  </numFmts>
  <fonts count="9" x14ac:knownFonts="1">
    <font>
      <sz val="11"/>
      <color theme="1"/>
      <name val="Calibri"/>
      <family val="2"/>
      <scheme val="minor"/>
    </font>
    <font>
      <sz val="10"/>
      <color theme="1"/>
      <name val="Times New Roman"/>
      <family val="1"/>
    </font>
    <font>
      <sz val="10"/>
      <color theme="1"/>
      <name val="Courier New"/>
      <family val="3"/>
    </font>
    <font>
      <b/>
      <sz val="11"/>
      <color theme="1"/>
      <name val="Arial"/>
      <family val="2"/>
    </font>
    <font>
      <sz val="11"/>
      <color theme="1"/>
      <name val="Arial"/>
      <family val="2"/>
    </font>
    <font>
      <vertAlign val="superscript"/>
      <sz val="11"/>
      <color theme="1"/>
      <name val="Arial"/>
      <family val="2"/>
    </font>
    <font>
      <i/>
      <sz val="11"/>
      <color theme="1"/>
      <name val="Arial"/>
      <family val="2"/>
    </font>
    <font>
      <sz val="11"/>
      <color theme="1"/>
      <name val="Calibri"/>
      <family val="2"/>
    </font>
    <font>
      <sz val="10"/>
      <color theme="1"/>
      <name val="Arial"/>
      <family val="2"/>
    </font>
  </fonts>
  <fills count="8">
    <fill>
      <patternFill patternType="none"/>
    </fill>
    <fill>
      <patternFill patternType="gray125"/>
    </fill>
    <fill>
      <patternFill patternType="solid">
        <fgColor theme="6" tint="0.79998168889431442"/>
        <bgColor indexed="64"/>
      </patternFill>
    </fill>
    <fill>
      <patternFill patternType="solid">
        <fgColor rgb="FFE7E6E6"/>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8" tint="0.59999389629810485"/>
        <bgColor indexed="64"/>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applyAlignment="1">
      <alignment horizontal="justify" vertical="center"/>
    </xf>
    <xf numFmtId="0" fontId="2" fillId="0" borderId="0" xfId="0" applyFont="1" applyAlignment="1">
      <alignment vertical="center"/>
    </xf>
    <xf numFmtId="0" fontId="0" fillId="2" borderId="0" xfId="0" applyFill="1" applyAlignment="1">
      <alignment horizontal="center"/>
    </xf>
    <xf numFmtId="0" fontId="3" fillId="3" borderId="0" xfId="0" applyFont="1" applyFill="1" applyAlignment="1">
      <alignment horizontal="justify" vertical="center"/>
    </xf>
    <xf numFmtId="0" fontId="3" fillId="3" borderId="0" xfId="0" applyFont="1" applyFill="1" applyAlignment="1">
      <alignment horizontal="justify" vertical="center" wrapText="1"/>
    </xf>
    <xf numFmtId="0" fontId="4" fillId="0" borderId="0" xfId="0" applyFont="1" applyAlignment="1">
      <alignment horizontal="justify" vertical="center" wrapText="1"/>
    </xf>
    <xf numFmtId="0" fontId="6" fillId="0" borderId="0" xfId="0" applyFont="1" applyAlignment="1">
      <alignment horizontal="justify" vertical="center"/>
    </xf>
    <xf numFmtId="0" fontId="4" fillId="0" borderId="0" xfId="0" applyFont="1" applyAlignment="1">
      <alignment horizontal="justify" vertical="center"/>
    </xf>
    <xf numFmtId="0" fontId="0" fillId="0" borderId="0" xfId="0" applyAlignment="1">
      <alignment horizontal="center"/>
    </xf>
    <xf numFmtId="0" fontId="0" fillId="4" borderId="0" xfId="0" applyFill="1" applyAlignment="1">
      <alignment horizontal="center"/>
    </xf>
    <xf numFmtId="164" fontId="0" fillId="6" borderId="0" xfId="0" applyNumberFormat="1" applyFill="1" applyAlignment="1">
      <alignment horizontal="center"/>
    </xf>
    <xf numFmtId="164" fontId="0" fillId="4" borderId="0" xfId="0" applyNumberFormat="1" applyFill="1" applyAlignment="1">
      <alignment horizontal="center"/>
    </xf>
    <xf numFmtId="165" fontId="0" fillId="6" borderId="0" xfId="0" applyNumberFormat="1" applyFill="1" applyAlignment="1">
      <alignment horizontal="center"/>
    </xf>
    <xf numFmtId="165" fontId="0" fillId="4" borderId="0" xfId="0" applyNumberFormat="1" applyFill="1" applyAlignment="1">
      <alignment horizontal="center"/>
    </xf>
    <xf numFmtId="0" fontId="0" fillId="5" borderId="0" xfId="0" applyFill="1" applyAlignment="1">
      <alignment horizontal="center"/>
    </xf>
    <xf numFmtId="164" fontId="0" fillId="7" borderId="0" xfId="0" applyNumberFormat="1" applyFill="1" applyAlignment="1">
      <alignment horizontal="center"/>
    </xf>
    <xf numFmtId="164" fontId="0" fillId="5" borderId="0" xfId="0" applyNumberFormat="1" applyFill="1" applyAlignment="1">
      <alignment horizontal="center"/>
    </xf>
    <xf numFmtId="165" fontId="0" fillId="7" borderId="0" xfId="0" applyNumberFormat="1" applyFill="1" applyAlignment="1">
      <alignment horizontal="center"/>
    </xf>
    <xf numFmtId="165" fontId="0" fillId="5" borderId="0" xfId="0" applyNumberFormat="1" applyFill="1" applyAlignment="1">
      <alignment horizontal="center"/>
    </xf>
    <xf numFmtId="14" fontId="0" fillId="0" borderId="0" xfId="0" applyNumberFormat="1" applyAlignment="1">
      <alignment horizontal="center"/>
    </xf>
    <xf numFmtId="21" fontId="0" fillId="0" borderId="0" xfId="0" applyNumberFormat="1" applyAlignment="1">
      <alignment horizontal="center"/>
    </xf>
    <xf numFmtId="166" fontId="0" fillId="0" borderId="0" xfId="0" applyNumberFormat="1" applyAlignment="1">
      <alignment horizontal="center"/>
    </xf>
    <xf numFmtId="1" fontId="0" fillId="0" borderId="0" xfId="0" applyNumberFormat="1" applyAlignment="1">
      <alignment horizontal="center"/>
    </xf>
    <xf numFmtId="167" fontId="0" fillId="0" borderId="0" xfId="0" applyNumberFormat="1" applyAlignment="1">
      <alignment horizontal="center"/>
    </xf>
    <xf numFmtId="11" fontId="0" fillId="0" borderId="0" xfId="0" applyNumberFormat="1"/>
    <xf numFmtId="0" fontId="7" fillId="0" borderId="0" xfId="0" applyFont="1"/>
    <xf numFmtId="1" fontId="8" fillId="0" borderId="0" xfId="0" applyNumberFormat="1" applyFont="1" applyAlignment="1">
      <alignment horizontal="right" vertical="center"/>
    </xf>
    <xf numFmtId="1" fontId="0" fillId="0" borderId="0" xfId="0" applyNumberFormat="1" applyAlignment="1">
      <alignment horizontal="right"/>
    </xf>
    <xf numFmtId="0" fontId="0" fillId="0" borderId="0" xfId="0" applyAlignment="1">
      <alignment horizontal="right"/>
    </xf>
    <xf numFmtId="0" fontId="0" fillId="0" borderId="0" xfId="0" applyAlignment="1">
      <alignment horizontal="left" vertical="center"/>
    </xf>
    <xf numFmtId="0" fontId="4" fillId="0" borderId="0" xfId="0" applyFont="1" applyAlignment="1">
      <alignment horizontal="justify" vertical="center"/>
    </xf>
    <xf numFmtId="0" fontId="4" fillId="0" borderId="0" xfId="0" applyFont="1" applyAlignment="1">
      <alignment horizontal="center" vertical="center"/>
    </xf>
    <xf numFmtId="0" fontId="0" fillId="0" borderId="0" xfId="0" applyAlignment="1">
      <alignment horizontal="center" vertical="center"/>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CIGRE_LV_buses_1" connectionId="2" xr16:uid="{AEF9B7DE-3716-4E17-8C6D-AC86B0984068}" autoFormatId="16" applyNumberFormats="0" applyBorderFormats="0" applyFontFormats="0" applyPatternFormats="0"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CIGRE_LV_wiredata_1_1" connectionId="4" xr16:uid="{FA526F05-1470-43BA-A28C-F10F529D4B91}" autoFormatId="16" applyNumberFormats="0" applyBorderFormats="0" applyFontFormats="0" applyPatternFormats="0"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CIGRE_LV_wiredata_1" connectionId="3" xr16:uid="{98BC4E30-4BF8-45A3-B9B6-E8F12DADF509}" autoFormatId="16" applyNumberFormats="0" applyBorderFormats="0" applyFontFormats="0" applyPatternFormats="0" applyAlignmentFormats="0" applyWidthHeightFormats="0"/>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UG5_2" connectionId="9" xr16:uid="{3FE6E614-8C53-4276-B82E-FDF53F2024D8}" autoFormatId="16" applyNumberFormats="0" applyBorderFormats="0" applyFontFormats="0" applyPatternFormats="0" applyAlignmentFormats="0" applyWidthHeightFormats="0"/>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UG6_2" connectionId="10" xr16:uid="{EA372FEB-3F0E-4E6F-879A-A730FB0F37D2}" autoFormatId="16" applyNumberFormats="0" applyBorderFormats="0" applyFontFormats="0" applyPatternFormats="0" applyAlignmentFormats="0" applyWidthHeightFormats="0"/>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UG1_2" connectionId="5" xr16:uid="{C6CDF088-848E-42F5-9C4B-D0E574536D10}" autoFormatId="16" applyNumberFormats="0" applyBorderFormats="0" applyFontFormats="0" applyPatternFormats="0" applyAlignmentFormats="0" applyWidthHeightFormats="0"/>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UG2_2" connectionId="6" xr16:uid="{68372E5A-CEDA-4A04-BB60-318C2C8AFB1A}" autoFormatId="16" applyNumberFormats="0" applyBorderFormats="0" applyFontFormats="0" applyPatternFormats="0" applyAlignmentFormats="0" applyWidthHeightFormats="0"/>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UG3_2" connectionId="7" xr16:uid="{F1C31282-0BAC-4A8B-845D-B029FDABAC17}" autoFormatId="16" applyNumberFormats="0" applyBorderFormats="0" applyFontFormats="0" applyPatternFormats="0" applyAlignmentFormats="0" applyWidthHeightFormats="0"/>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UG4_2" connectionId="8" xr16:uid="{9126E216-F3E1-45D9-BA13-9185B40C27F8}" autoFormatId="16" applyNumberFormats="0" applyBorderFormats="0" applyFontFormats="0" applyPatternFormats="0" applyAlignmentFormats="0" applyWidthHeightFormats="0"/>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CIGRE_LV_branches_1" connectionId="1" xr16:uid="{B799D104-E593-4D6C-BB21-1DE3F093C927}" autoFormatId="16" applyNumberFormats="0" applyBorderFormats="0" applyFontFormats="0" applyPatternFormats="0" applyAlignmentFormats="0" applyWidthHeightFormats="0"/>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queryTable" Target="../queryTables/queryTable6.xml"/><Relationship Id="rId2" Type="http://schemas.openxmlformats.org/officeDocument/2006/relationships/queryTable" Target="../queryTables/queryTable5.xml"/><Relationship Id="rId1" Type="http://schemas.openxmlformats.org/officeDocument/2006/relationships/queryTable" Target="../queryTables/queryTable4.xml"/><Relationship Id="rId6" Type="http://schemas.openxmlformats.org/officeDocument/2006/relationships/queryTable" Target="../queryTables/queryTable9.xml"/><Relationship Id="rId5" Type="http://schemas.openxmlformats.org/officeDocument/2006/relationships/queryTable" Target="../queryTables/queryTable8.xml"/><Relationship Id="rId4" Type="http://schemas.openxmlformats.org/officeDocument/2006/relationships/queryTable" Target="../queryTables/queryTable7.xml"/></Relationships>
</file>

<file path=xl/worksheets/_rels/sheet8.xml.rels><?xml version="1.0" encoding="UTF-8" standalone="yes"?>
<Relationships xmlns="http://schemas.openxmlformats.org/package/2006/relationships"><Relationship Id="rId2" Type="http://schemas.openxmlformats.org/officeDocument/2006/relationships/queryTable" Target="../queryTables/queryTable10.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1D2F0-9395-41CB-A78A-4B6A3EE6184A}">
  <dimension ref="A1:C168"/>
  <sheetViews>
    <sheetView topLeftCell="A49" zoomScaleNormal="100" workbookViewId="0">
      <selection activeCell="D61" sqref="D61"/>
    </sheetView>
  </sheetViews>
  <sheetFormatPr baseColWidth="10" defaultColWidth="8.83203125" defaultRowHeight="15" x14ac:dyDescent="0.2"/>
  <cols>
    <col min="1" max="1" width="28" customWidth="1"/>
    <col min="2" max="2" width="38.83203125" customWidth="1"/>
    <col min="3" max="3" width="26.83203125" customWidth="1"/>
  </cols>
  <sheetData>
    <row r="1" spans="1:3" x14ac:dyDescent="0.2">
      <c r="A1" s="4" t="s">
        <v>79</v>
      </c>
      <c r="B1" s="4" t="s">
        <v>80</v>
      </c>
      <c r="C1" s="5" t="s">
        <v>81</v>
      </c>
    </row>
    <row r="2" spans="1:3" x14ac:dyDescent="0.2">
      <c r="A2" t="s">
        <v>31</v>
      </c>
      <c r="B2" s="8" t="s">
        <v>82</v>
      </c>
      <c r="C2" s="6"/>
    </row>
    <row r="3" spans="1:3" ht="30" x14ac:dyDescent="0.2">
      <c r="A3" t="s">
        <v>32</v>
      </c>
      <c r="B3" s="8" t="s">
        <v>213</v>
      </c>
      <c r="C3" s="6"/>
    </row>
    <row r="4" spans="1:3" ht="16" x14ac:dyDescent="0.2">
      <c r="A4" t="s">
        <v>33</v>
      </c>
      <c r="B4" s="8" t="s">
        <v>83</v>
      </c>
      <c r="C4" s="6" t="s">
        <v>84</v>
      </c>
    </row>
    <row r="5" spans="1:3" x14ac:dyDescent="0.2">
      <c r="A5" t="s">
        <v>160</v>
      </c>
      <c r="B5" s="8" t="s">
        <v>169</v>
      </c>
      <c r="C5" s="6"/>
    </row>
    <row r="6" spans="1:3" x14ac:dyDescent="0.2">
      <c r="A6" t="s">
        <v>34</v>
      </c>
      <c r="B6" s="8" t="s">
        <v>87</v>
      </c>
      <c r="C6" s="6"/>
    </row>
    <row r="7" spans="1:3" x14ac:dyDescent="0.2">
      <c r="A7" t="s">
        <v>0</v>
      </c>
      <c r="B7" s="8" t="s">
        <v>85</v>
      </c>
      <c r="C7" s="6"/>
    </row>
    <row r="8" spans="1:3" x14ac:dyDescent="0.2">
      <c r="A8" t="s">
        <v>1</v>
      </c>
      <c r="B8" s="8" t="s">
        <v>86</v>
      </c>
      <c r="C8" s="6"/>
    </row>
    <row r="9" spans="1:3" ht="75" x14ac:dyDescent="0.2">
      <c r="A9" t="s">
        <v>198</v>
      </c>
      <c r="B9" s="8" t="s">
        <v>201</v>
      </c>
      <c r="C9" s="6"/>
    </row>
    <row r="11" spans="1:3" x14ac:dyDescent="0.2">
      <c r="A11" s="4" t="s">
        <v>88</v>
      </c>
      <c r="B11" s="4" t="s">
        <v>80</v>
      </c>
      <c r="C11" s="5" t="s">
        <v>81</v>
      </c>
    </row>
    <row r="12" spans="1:3" ht="30" x14ac:dyDescent="0.2">
      <c r="A12" t="s">
        <v>35</v>
      </c>
      <c r="B12" s="8" t="s">
        <v>170</v>
      </c>
      <c r="C12" s="6"/>
    </row>
    <row r="13" spans="1:3" x14ac:dyDescent="0.2">
      <c r="A13" t="s">
        <v>36</v>
      </c>
      <c r="B13" s="8" t="s">
        <v>89</v>
      </c>
      <c r="C13" s="6" t="s">
        <v>90</v>
      </c>
    </row>
    <row r="14" spans="1:3" x14ac:dyDescent="0.2">
      <c r="A14" t="s">
        <v>37</v>
      </c>
      <c r="B14" s="8" t="s">
        <v>91</v>
      </c>
      <c r="C14" s="6" t="s">
        <v>92</v>
      </c>
    </row>
    <row r="15" spans="1:3" x14ac:dyDescent="0.2">
      <c r="A15" t="s">
        <v>38</v>
      </c>
      <c r="B15" s="8" t="s">
        <v>93</v>
      </c>
      <c r="C15" s="6" t="s">
        <v>90</v>
      </c>
    </row>
    <row r="16" spans="1:3" x14ac:dyDescent="0.2">
      <c r="A16" t="s">
        <v>39</v>
      </c>
      <c r="B16" s="8" t="s">
        <v>94</v>
      </c>
      <c r="C16" s="6">
        <v>0</v>
      </c>
    </row>
    <row r="17" spans="1:3" x14ac:dyDescent="0.2">
      <c r="A17" t="s">
        <v>30</v>
      </c>
      <c r="B17" s="8" t="s">
        <v>95</v>
      </c>
      <c r="C17" s="6" t="s">
        <v>90</v>
      </c>
    </row>
    <row r="19" spans="1:3" x14ac:dyDescent="0.2">
      <c r="A19" s="4" t="s">
        <v>96</v>
      </c>
      <c r="B19" s="4" t="s">
        <v>80</v>
      </c>
      <c r="C19" s="5" t="s">
        <v>81</v>
      </c>
    </row>
    <row r="20" spans="1:3" ht="60" x14ac:dyDescent="0.2">
      <c r="A20" t="s">
        <v>23</v>
      </c>
      <c r="B20" s="8" t="s">
        <v>171</v>
      </c>
      <c r="C20" s="6"/>
    </row>
    <row r="21" spans="1:3" x14ac:dyDescent="0.2">
      <c r="A21" t="s">
        <v>40</v>
      </c>
      <c r="B21" s="8" t="s">
        <v>97</v>
      </c>
      <c r="C21" s="6" t="s">
        <v>98</v>
      </c>
    </row>
    <row r="22" spans="1:3" x14ac:dyDescent="0.2">
      <c r="A22" t="s">
        <v>35</v>
      </c>
      <c r="B22" s="8" t="s">
        <v>172</v>
      </c>
      <c r="C22" s="6"/>
    </row>
    <row r="23" spans="1:3" x14ac:dyDescent="0.2">
      <c r="A23" t="s">
        <v>41</v>
      </c>
      <c r="B23" s="8" t="s">
        <v>99</v>
      </c>
      <c r="C23" s="6"/>
    </row>
    <row r="24" spans="1:3" x14ac:dyDescent="0.2">
      <c r="A24" t="s">
        <v>42</v>
      </c>
      <c r="B24" s="8" t="s">
        <v>100</v>
      </c>
      <c r="C24" s="6"/>
    </row>
    <row r="26" spans="1:3" x14ac:dyDescent="0.2">
      <c r="A26" s="4" t="s">
        <v>173</v>
      </c>
      <c r="B26" s="4" t="s">
        <v>80</v>
      </c>
      <c r="C26" s="5" t="s">
        <v>81</v>
      </c>
    </row>
    <row r="27" spans="1:3" ht="60" x14ac:dyDescent="0.2">
      <c r="A27" t="s">
        <v>23</v>
      </c>
      <c r="B27" s="8" t="s">
        <v>171</v>
      </c>
      <c r="C27" s="6"/>
    </row>
    <row r="28" spans="1:3" x14ac:dyDescent="0.2">
      <c r="A28" t="s">
        <v>40</v>
      </c>
      <c r="B28" s="8" t="s">
        <v>97</v>
      </c>
      <c r="C28" s="6" t="s">
        <v>98</v>
      </c>
    </row>
    <row r="29" spans="1:3" x14ac:dyDescent="0.2">
      <c r="A29" t="s">
        <v>30</v>
      </c>
      <c r="B29" s="8" t="s">
        <v>95</v>
      </c>
      <c r="C29" s="6" t="s">
        <v>90</v>
      </c>
    </row>
    <row r="30" spans="1:3" x14ac:dyDescent="0.2">
      <c r="A30" t="s">
        <v>7</v>
      </c>
      <c r="B30" s="8"/>
      <c r="C30" s="6"/>
    </row>
    <row r="31" spans="1:3" x14ac:dyDescent="0.2">
      <c r="A31" t="s">
        <v>8</v>
      </c>
      <c r="B31" s="8"/>
      <c r="C31" s="6"/>
    </row>
    <row r="32" spans="1:3" x14ac:dyDescent="0.2">
      <c r="A32" t="s">
        <v>9</v>
      </c>
      <c r="B32" s="8"/>
      <c r="C32" s="6"/>
    </row>
    <row r="33" spans="1:3" x14ac:dyDescent="0.2">
      <c r="A33" t="s">
        <v>10</v>
      </c>
      <c r="B33" s="8"/>
      <c r="C33" s="6"/>
    </row>
    <row r="34" spans="1:3" x14ac:dyDescent="0.2">
      <c r="A34" t="s">
        <v>11</v>
      </c>
      <c r="B34" s="8"/>
      <c r="C34" s="6"/>
    </row>
    <row r="35" spans="1:3" x14ac:dyDescent="0.2">
      <c r="A35" t="s">
        <v>13</v>
      </c>
      <c r="B35" s="8"/>
      <c r="C35" s="6"/>
    </row>
    <row r="36" spans="1:3" x14ac:dyDescent="0.2">
      <c r="A36" t="s">
        <v>14</v>
      </c>
      <c r="B36" s="8"/>
      <c r="C36" s="6"/>
    </row>
    <row r="37" spans="1:3" x14ac:dyDescent="0.2">
      <c r="A37" t="s">
        <v>12</v>
      </c>
      <c r="B37" s="8"/>
      <c r="C37" s="6"/>
    </row>
    <row r="38" spans="1:3" x14ac:dyDescent="0.2">
      <c r="A38" t="s">
        <v>15</v>
      </c>
      <c r="B38" s="8"/>
      <c r="C38" s="6"/>
    </row>
    <row r="39" spans="1:3" x14ac:dyDescent="0.2">
      <c r="A39" t="s">
        <v>16</v>
      </c>
      <c r="B39" s="8"/>
      <c r="C39" s="6"/>
    </row>
    <row r="40" spans="1:3" x14ac:dyDescent="0.2">
      <c r="A40" t="s">
        <v>17</v>
      </c>
      <c r="B40" s="8"/>
      <c r="C40" s="6"/>
    </row>
    <row r="41" spans="1:3" x14ac:dyDescent="0.2">
      <c r="A41" t="s">
        <v>18</v>
      </c>
      <c r="B41" s="8"/>
      <c r="C41" s="6"/>
    </row>
    <row r="42" spans="1:3" x14ac:dyDescent="0.2">
      <c r="A42" t="s">
        <v>19</v>
      </c>
      <c r="B42" s="8"/>
      <c r="C42" s="6"/>
    </row>
    <row r="43" spans="1:3" x14ac:dyDescent="0.2">
      <c r="A43" t="s">
        <v>20</v>
      </c>
      <c r="B43" s="8"/>
      <c r="C43" s="6"/>
    </row>
    <row r="44" spans="1:3" x14ac:dyDescent="0.2">
      <c r="A44" t="s">
        <v>21</v>
      </c>
      <c r="B44" s="8"/>
      <c r="C44" s="6"/>
    </row>
    <row r="45" spans="1:3" x14ac:dyDescent="0.2">
      <c r="A45" t="s">
        <v>22</v>
      </c>
      <c r="B45" s="8"/>
      <c r="C45" s="6"/>
    </row>
    <row r="47" spans="1:3" x14ac:dyDescent="0.2">
      <c r="A47" s="4" t="s">
        <v>174</v>
      </c>
      <c r="B47" s="4" t="s">
        <v>80</v>
      </c>
      <c r="C47" s="5" t="s">
        <v>81</v>
      </c>
    </row>
    <row r="48" spans="1:3" ht="60" x14ac:dyDescent="0.2">
      <c r="A48" t="s">
        <v>23</v>
      </c>
      <c r="B48" s="8" t="s">
        <v>171</v>
      </c>
      <c r="C48" s="6"/>
    </row>
    <row r="49" spans="1:3" x14ac:dyDescent="0.2">
      <c r="A49" t="s">
        <v>24</v>
      </c>
      <c r="B49" s="8" t="s">
        <v>97</v>
      </c>
      <c r="C49" s="6" t="s">
        <v>98</v>
      </c>
    </row>
    <row r="50" spans="1:3" x14ac:dyDescent="0.2">
      <c r="A50" t="s">
        <v>25</v>
      </c>
      <c r="B50" s="8"/>
      <c r="C50" s="6"/>
    </row>
    <row r="51" spans="1:3" x14ac:dyDescent="0.2">
      <c r="A51" t="s">
        <v>26</v>
      </c>
      <c r="B51" s="8"/>
      <c r="C51" s="6"/>
    </row>
    <row r="52" spans="1:3" x14ac:dyDescent="0.2">
      <c r="A52" t="s">
        <v>27</v>
      </c>
      <c r="B52" s="8"/>
      <c r="C52" s="6"/>
    </row>
    <row r="53" spans="1:3" x14ac:dyDescent="0.2">
      <c r="A53" t="s">
        <v>28</v>
      </c>
      <c r="B53" s="8"/>
      <c r="C53" s="6"/>
    </row>
    <row r="54" spans="1:3" x14ac:dyDescent="0.2">
      <c r="A54" t="s">
        <v>29</v>
      </c>
      <c r="B54" s="8"/>
      <c r="C54" s="6"/>
    </row>
    <row r="55" spans="1:3" x14ac:dyDescent="0.2">
      <c r="A55" t="s">
        <v>30</v>
      </c>
      <c r="B55" s="8" t="s">
        <v>95</v>
      </c>
      <c r="C55" s="6" t="s">
        <v>90</v>
      </c>
    </row>
    <row r="57" spans="1:3" x14ac:dyDescent="0.2">
      <c r="A57" s="4" t="s">
        <v>101</v>
      </c>
      <c r="B57" s="4" t="s">
        <v>80</v>
      </c>
      <c r="C57" s="5" t="s">
        <v>81</v>
      </c>
    </row>
    <row r="58" spans="1:3" x14ac:dyDescent="0.2">
      <c r="A58" t="s">
        <v>43</v>
      </c>
      <c r="B58" s="8" t="s">
        <v>102</v>
      </c>
      <c r="C58" s="6"/>
    </row>
    <row r="59" spans="1:3" ht="60" x14ac:dyDescent="0.2">
      <c r="A59" t="s">
        <v>199</v>
      </c>
      <c r="B59" s="8" t="s">
        <v>202</v>
      </c>
      <c r="C59" s="6" t="s">
        <v>203</v>
      </c>
    </row>
    <row r="60" spans="1:3" x14ac:dyDescent="0.2">
      <c r="A60" t="s">
        <v>44</v>
      </c>
      <c r="B60" s="8" t="s">
        <v>103</v>
      </c>
      <c r="C60" s="6"/>
    </row>
    <row r="61" spans="1:3" ht="60" x14ac:dyDescent="0.2">
      <c r="A61" t="s">
        <v>200</v>
      </c>
      <c r="B61" s="8" t="s">
        <v>212</v>
      </c>
      <c r="C61" s="6" t="s">
        <v>203</v>
      </c>
    </row>
    <row r="62" spans="1:3" x14ac:dyDescent="0.2">
      <c r="A62" t="s">
        <v>45</v>
      </c>
      <c r="B62" s="8" t="s">
        <v>104</v>
      </c>
      <c r="C62" s="6"/>
    </row>
    <row r="63" spans="1:3" x14ac:dyDescent="0.2">
      <c r="A63" t="s">
        <v>46</v>
      </c>
      <c r="B63" s="8" t="s">
        <v>105</v>
      </c>
      <c r="C63" s="6"/>
    </row>
    <row r="64" spans="1:3" x14ac:dyDescent="0.2">
      <c r="A64" t="s">
        <v>34</v>
      </c>
      <c r="B64" s="8" t="s">
        <v>106</v>
      </c>
      <c r="C64" s="6"/>
    </row>
    <row r="66" spans="1:3" x14ac:dyDescent="0.2">
      <c r="A66" s="4" t="s">
        <v>107</v>
      </c>
      <c r="B66" s="4" t="s">
        <v>80</v>
      </c>
      <c r="C66" s="5" t="s">
        <v>81</v>
      </c>
    </row>
    <row r="67" spans="1:3" x14ac:dyDescent="0.2">
      <c r="A67" t="s">
        <v>47</v>
      </c>
      <c r="B67" s="8" t="s">
        <v>102</v>
      </c>
      <c r="C67" s="6"/>
    </row>
    <row r="68" spans="1:3" x14ac:dyDescent="0.2">
      <c r="A68" t="s">
        <v>48</v>
      </c>
      <c r="B68" s="8" t="s">
        <v>103</v>
      </c>
      <c r="C68" s="6"/>
    </row>
    <row r="69" spans="1:3" x14ac:dyDescent="0.2">
      <c r="A69" t="s">
        <v>63</v>
      </c>
      <c r="B69" s="8" t="s">
        <v>108</v>
      </c>
      <c r="C69" s="6"/>
    </row>
    <row r="70" spans="1:3" x14ac:dyDescent="0.2">
      <c r="A70" t="s">
        <v>64</v>
      </c>
      <c r="B70" s="8" t="s">
        <v>109</v>
      </c>
      <c r="C70" s="6"/>
    </row>
    <row r="71" spans="1:3" x14ac:dyDescent="0.2">
      <c r="A71" t="s">
        <v>65</v>
      </c>
      <c r="B71" s="8" t="s">
        <v>110</v>
      </c>
      <c r="C71" s="6"/>
    </row>
    <row r="72" spans="1:3" x14ac:dyDescent="0.2">
      <c r="A72" t="s">
        <v>49</v>
      </c>
      <c r="B72" s="8" t="s">
        <v>111</v>
      </c>
      <c r="C72" s="6"/>
    </row>
    <row r="73" spans="1:3" x14ac:dyDescent="0.2">
      <c r="A73" t="s">
        <v>50</v>
      </c>
      <c r="B73" s="8" t="s">
        <v>112</v>
      </c>
      <c r="C73" s="6"/>
    </row>
    <row r="74" spans="1:3" x14ac:dyDescent="0.2">
      <c r="A74" t="s">
        <v>51</v>
      </c>
      <c r="B74" s="8" t="s">
        <v>113</v>
      </c>
      <c r="C74" s="6"/>
    </row>
    <row r="75" spans="1:3" x14ac:dyDescent="0.2">
      <c r="A75" t="s">
        <v>52</v>
      </c>
      <c r="B75" s="8" t="s">
        <v>114</v>
      </c>
      <c r="C75" s="6"/>
    </row>
    <row r="76" spans="1:3" x14ac:dyDescent="0.2">
      <c r="A76" s="30" t="s">
        <v>2</v>
      </c>
      <c r="B76" s="31" t="s">
        <v>115</v>
      </c>
      <c r="C76" s="6" t="s">
        <v>116</v>
      </c>
    </row>
    <row r="77" spans="1:3" x14ac:dyDescent="0.2">
      <c r="A77" s="30"/>
      <c r="B77" s="31"/>
      <c r="C77" s="6" t="s">
        <v>117</v>
      </c>
    </row>
    <row r="78" spans="1:3" x14ac:dyDescent="0.2">
      <c r="A78" s="30" t="s">
        <v>3</v>
      </c>
      <c r="B78" s="31" t="s">
        <v>118</v>
      </c>
      <c r="C78" s="6" t="s">
        <v>116</v>
      </c>
    </row>
    <row r="79" spans="1:3" x14ac:dyDescent="0.2">
      <c r="A79" s="30"/>
      <c r="B79" s="31"/>
      <c r="C79" s="6" t="s">
        <v>117</v>
      </c>
    </row>
    <row r="80" spans="1:3" x14ac:dyDescent="0.2">
      <c r="A80" t="s">
        <v>4</v>
      </c>
      <c r="B80" s="8" t="s">
        <v>119</v>
      </c>
      <c r="C80" s="6" t="s">
        <v>120</v>
      </c>
    </row>
    <row r="81" spans="1:3" x14ac:dyDescent="0.2">
      <c r="A81" t="s">
        <v>53</v>
      </c>
      <c r="B81" s="8" t="s">
        <v>121</v>
      </c>
      <c r="C81" s="6" t="s">
        <v>122</v>
      </c>
    </row>
    <row r="82" spans="1:3" x14ac:dyDescent="0.2">
      <c r="A82" t="s">
        <v>54</v>
      </c>
      <c r="B82" s="8" t="s">
        <v>123</v>
      </c>
      <c r="C82" s="6" t="s">
        <v>124</v>
      </c>
    </row>
    <row r="83" spans="1:3" x14ac:dyDescent="0.2">
      <c r="A83" t="s">
        <v>55</v>
      </c>
      <c r="B83" s="8" t="s">
        <v>125</v>
      </c>
      <c r="C83" s="6" t="s">
        <v>126</v>
      </c>
    </row>
    <row r="84" spans="1:3" x14ac:dyDescent="0.2">
      <c r="A84" t="s">
        <v>56</v>
      </c>
      <c r="B84" s="8" t="s">
        <v>127</v>
      </c>
      <c r="C84" s="6" t="s">
        <v>128</v>
      </c>
    </row>
    <row r="85" spans="1:3" ht="30" x14ac:dyDescent="0.2">
      <c r="A85" t="s">
        <v>57</v>
      </c>
      <c r="B85" s="8" t="s">
        <v>129</v>
      </c>
      <c r="C85" s="6" t="s">
        <v>130</v>
      </c>
    </row>
    <row r="86" spans="1:3" x14ac:dyDescent="0.2">
      <c r="A86" t="s">
        <v>58</v>
      </c>
      <c r="B86" s="8" t="s">
        <v>131</v>
      </c>
      <c r="C86" s="6" t="s">
        <v>132</v>
      </c>
    </row>
    <row r="87" spans="1:3" x14ac:dyDescent="0.2">
      <c r="A87" t="s">
        <v>59</v>
      </c>
      <c r="B87" s="8" t="s">
        <v>133</v>
      </c>
      <c r="C87" s="6"/>
    </row>
    <row r="88" spans="1:3" x14ac:dyDescent="0.2">
      <c r="A88" t="s">
        <v>60</v>
      </c>
      <c r="B88" s="8" t="s">
        <v>134</v>
      </c>
      <c r="C88" s="6"/>
    </row>
    <row r="89" spans="1:3" x14ac:dyDescent="0.2">
      <c r="A89" t="s">
        <v>61</v>
      </c>
      <c r="B89" s="8" t="s">
        <v>135</v>
      </c>
      <c r="C89" s="6"/>
    </row>
    <row r="90" spans="1:3" x14ac:dyDescent="0.2">
      <c r="A90" s="30" t="s">
        <v>62</v>
      </c>
      <c r="B90" s="31" t="s">
        <v>136</v>
      </c>
      <c r="C90" s="6" t="s">
        <v>137</v>
      </c>
    </row>
    <row r="91" spans="1:3" x14ac:dyDescent="0.2">
      <c r="A91" s="30"/>
      <c r="B91" s="31"/>
      <c r="C91" s="6" t="s">
        <v>138</v>
      </c>
    </row>
    <row r="93" spans="1:3" x14ac:dyDescent="0.2">
      <c r="A93" s="4" t="s">
        <v>175</v>
      </c>
      <c r="B93" s="4" t="s">
        <v>80</v>
      </c>
      <c r="C93" s="5" t="s">
        <v>81</v>
      </c>
    </row>
    <row r="94" spans="1:3" ht="30" x14ac:dyDescent="0.2">
      <c r="A94" t="s">
        <v>66</v>
      </c>
      <c r="B94" s="8" t="s">
        <v>176</v>
      </c>
      <c r="C94" s="6"/>
    </row>
    <row r="95" spans="1:3" ht="60" x14ac:dyDescent="0.2">
      <c r="A95" t="s">
        <v>67</v>
      </c>
      <c r="B95" s="8" t="s">
        <v>177</v>
      </c>
      <c r="C95" s="6"/>
    </row>
    <row r="96" spans="1:3" x14ac:dyDescent="0.2">
      <c r="A96" t="s">
        <v>31</v>
      </c>
      <c r="B96" s="8" t="s">
        <v>178</v>
      </c>
      <c r="C96" s="6"/>
    </row>
    <row r="97" spans="1:3" ht="30" x14ac:dyDescent="0.2">
      <c r="A97" t="s">
        <v>68</v>
      </c>
      <c r="B97" s="8" t="s">
        <v>179</v>
      </c>
      <c r="C97" s="6"/>
    </row>
    <row r="98" spans="1:3" ht="30" x14ac:dyDescent="0.2">
      <c r="A98" t="s">
        <v>69</v>
      </c>
      <c r="B98" s="8" t="s">
        <v>180</v>
      </c>
      <c r="C98" s="6"/>
    </row>
    <row r="99" spans="1:3" x14ac:dyDescent="0.2">
      <c r="A99" t="s">
        <v>32</v>
      </c>
      <c r="B99" s="8" t="s">
        <v>181</v>
      </c>
      <c r="C99" s="6"/>
    </row>
    <row r="100" spans="1:3" x14ac:dyDescent="0.2">
      <c r="A100" t="s">
        <v>65</v>
      </c>
      <c r="B100" s="8" t="s">
        <v>182</v>
      </c>
      <c r="C100" s="6"/>
    </row>
    <row r="101" spans="1:3" x14ac:dyDescent="0.2">
      <c r="A101" t="s">
        <v>49</v>
      </c>
      <c r="B101" s="8" t="s">
        <v>183</v>
      </c>
      <c r="C101" s="6"/>
    </row>
    <row r="102" spans="1:3" x14ac:dyDescent="0.2">
      <c r="A102" t="s">
        <v>50</v>
      </c>
      <c r="B102" s="8" t="s">
        <v>184</v>
      </c>
      <c r="C102" s="6"/>
    </row>
    <row r="103" spans="1:3" x14ac:dyDescent="0.2">
      <c r="A103" t="s">
        <v>51</v>
      </c>
      <c r="B103" s="8" t="s">
        <v>185</v>
      </c>
      <c r="C103" s="6"/>
    </row>
    <row r="104" spans="1:3" x14ac:dyDescent="0.2">
      <c r="A104" t="s">
        <v>52</v>
      </c>
      <c r="B104" s="8" t="s">
        <v>114</v>
      </c>
      <c r="C104" s="6"/>
    </row>
    <row r="105" spans="1:3" x14ac:dyDescent="0.2">
      <c r="A105" t="s">
        <v>53</v>
      </c>
      <c r="B105" s="8" t="s">
        <v>121</v>
      </c>
      <c r="C105" s="6" t="s">
        <v>122</v>
      </c>
    </row>
    <row r="106" spans="1:3" x14ac:dyDescent="0.2">
      <c r="A106" t="s">
        <v>54</v>
      </c>
      <c r="B106" s="8" t="s">
        <v>123</v>
      </c>
      <c r="C106" s="6" t="s">
        <v>124</v>
      </c>
    </row>
    <row r="107" spans="1:3" x14ac:dyDescent="0.2">
      <c r="A107" t="s">
        <v>55</v>
      </c>
      <c r="B107" s="8" t="s">
        <v>125</v>
      </c>
      <c r="C107" s="6" t="s">
        <v>126</v>
      </c>
    </row>
    <row r="108" spans="1:3" x14ac:dyDescent="0.2">
      <c r="A108" t="s">
        <v>56</v>
      </c>
      <c r="B108" s="8" t="s">
        <v>127</v>
      </c>
      <c r="C108" s="6" t="s">
        <v>128</v>
      </c>
    </row>
    <row r="109" spans="1:3" ht="30" x14ac:dyDescent="0.2">
      <c r="A109" t="s">
        <v>57</v>
      </c>
      <c r="B109" s="8" t="s">
        <v>129</v>
      </c>
      <c r="C109" s="6" t="s">
        <v>130</v>
      </c>
    </row>
    <row r="110" spans="1:3" x14ac:dyDescent="0.2">
      <c r="A110" t="s">
        <v>58</v>
      </c>
      <c r="B110" s="8" t="s">
        <v>131</v>
      </c>
      <c r="C110" s="6" t="s">
        <v>132</v>
      </c>
    </row>
    <row r="111" spans="1:3" x14ac:dyDescent="0.2">
      <c r="A111" t="s">
        <v>59</v>
      </c>
      <c r="B111" s="8" t="s">
        <v>133</v>
      </c>
      <c r="C111" s="6"/>
    </row>
    <row r="112" spans="1:3" x14ac:dyDescent="0.2">
      <c r="A112" t="s">
        <v>60</v>
      </c>
      <c r="B112" s="8" t="s">
        <v>134</v>
      </c>
      <c r="C112" s="6"/>
    </row>
    <row r="113" spans="1:3" x14ac:dyDescent="0.2">
      <c r="A113" t="s">
        <v>61</v>
      </c>
      <c r="B113" s="8" t="s">
        <v>135</v>
      </c>
      <c r="C113" s="6"/>
    </row>
    <row r="114" spans="1:3" x14ac:dyDescent="0.2">
      <c r="A114" s="30" t="s">
        <v>62</v>
      </c>
      <c r="B114" s="31" t="s">
        <v>136</v>
      </c>
      <c r="C114" s="6" t="s">
        <v>137</v>
      </c>
    </row>
    <row r="115" spans="1:3" x14ac:dyDescent="0.2">
      <c r="A115" s="30"/>
      <c r="B115" s="31"/>
      <c r="C115" s="6" t="s">
        <v>138</v>
      </c>
    </row>
    <row r="117" spans="1:3" x14ac:dyDescent="0.2">
      <c r="A117" s="4" t="s">
        <v>139</v>
      </c>
      <c r="B117" s="4" t="s">
        <v>140</v>
      </c>
      <c r="C117" s="5" t="s">
        <v>81</v>
      </c>
    </row>
    <row r="118" spans="1:3" x14ac:dyDescent="0.2">
      <c r="A118" t="s">
        <v>70</v>
      </c>
      <c r="B118" s="8" t="s">
        <v>141</v>
      </c>
      <c r="C118" s="6"/>
    </row>
    <row r="119" spans="1:3" ht="45" x14ac:dyDescent="0.2">
      <c r="A119" t="s">
        <v>40</v>
      </c>
      <c r="B119" s="6" t="s">
        <v>204</v>
      </c>
      <c r="C119" s="6"/>
    </row>
    <row r="120" spans="1:3" x14ac:dyDescent="0.2">
      <c r="A120" t="s">
        <v>162</v>
      </c>
      <c r="B120" s="8" t="s">
        <v>186</v>
      </c>
      <c r="C120" s="6"/>
    </row>
    <row r="121" spans="1:3" x14ac:dyDescent="0.2">
      <c r="A121" t="s">
        <v>161</v>
      </c>
      <c r="B121" s="8" t="s">
        <v>187</v>
      </c>
      <c r="C121" s="6"/>
    </row>
    <row r="122" spans="1:3" ht="30" x14ac:dyDescent="0.2">
      <c r="A122" s="30" t="s">
        <v>71</v>
      </c>
      <c r="B122" s="32" t="s">
        <v>142</v>
      </c>
      <c r="C122" s="6" t="s">
        <v>205</v>
      </c>
    </row>
    <row r="123" spans="1:3" ht="30" x14ac:dyDescent="0.2">
      <c r="A123" s="30"/>
      <c r="B123" s="32"/>
      <c r="C123" s="6" t="s">
        <v>206</v>
      </c>
    </row>
    <row r="124" spans="1:3" ht="30" x14ac:dyDescent="0.2">
      <c r="A124" s="30"/>
      <c r="B124" s="32"/>
      <c r="C124" s="6" t="s">
        <v>207</v>
      </c>
    </row>
    <row r="125" spans="1:3" x14ac:dyDescent="0.2">
      <c r="A125" t="s">
        <v>72</v>
      </c>
      <c r="B125" s="8" t="s">
        <v>143</v>
      </c>
      <c r="C125" s="6" t="s">
        <v>144</v>
      </c>
    </row>
    <row r="126" spans="1:3" x14ac:dyDescent="0.2">
      <c r="A126" t="s">
        <v>73</v>
      </c>
      <c r="B126" s="8" t="s">
        <v>145</v>
      </c>
      <c r="C126" s="6" t="s">
        <v>144</v>
      </c>
    </row>
    <row r="127" spans="1:3" x14ac:dyDescent="0.2">
      <c r="A127" t="s">
        <v>75</v>
      </c>
      <c r="B127" s="8" t="s">
        <v>146</v>
      </c>
      <c r="C127" s="6" t="s">
        <v>144</v>
      </c>
    </row>
    <row r="128" spans="1:3" x14ac:dyDescent="0.2">
      <c r="A128" t="s">
        <v>74</v>
      </c>
      <c r="B128" s="8" t="s">
        <v>147</v>
      </c>
      <c r="C128" s="6" t="s">
        <v>144</v>
      </c>
    </row>
    <row r="129" spans="1:3" x14ac:dyDescent="0.2">
      <c r="A129" t="s">
        <v>76</v>
      </c>
      <c r="B129" s="8" t="s">
        <v>148</v>
      </c>
      <c r="C129" s="6" t="s">
        <v>144</v>
      </c>
    </row>
    <row r="130" spans="1:3" x14ac:dyDescent="0.2">
      <c r="A130" t="s">
        <v>77</v>
      </c>
      <c r="B130" s="8" t="s">
        <v>149</v>
      </c>
      <c r="C130" s="6" t="s">
        <v>144</v>
      </c>
    </row>
    <row r="131" spans="1:3" x14ac:dyDescent="0.2">
      <c r="A131" t="s">
        <v>5</v>
      </c>
      <c r="B131" s="8"/>
      <c r="C131" s="6"/>
    </row>
    <row r="132" spans="1:3" ht="60" x14ac:dyDescent="0.2">
      <c r="A132" t="s">
        <v>68</v>
      </c>
      <c r="B132" s="8" t="s">
        <v>208</v>
      </c>
      <c r="C132" s="6"/>
    </row>
    <row r="133" spans="1:3" ht="75" x14ac:dyDescent="0.2">
      <c r="A133" t="s">
        <v>69</v>
      </c>
      <c r="B133" s="8" t="s">
        <v>209</v>
      </c>
      <c r="C133" s="6"/>
    </row>
    <row r="134" spans="1:3" ht="30" x14ac:dyDescent="0.2">
      <c r="A134" t="s">
        <v>6</v>
      </c>
      <c r="B134" s="8" t="s">
        <v>150</v>
      </c>
      <c r="C134" s="6"/>
    </row>
    <row r="136" spans="1:3" x14ac:dyDescent="0.2">
      <c r="A136" s="4" t="s">
        <v>151</v>
      </c>
      <c r="B136" s="4" t="s">
        <v>140</v>
      </c>
      <c r="C136" s="5" t="s">
        <v>81</v>
      </c>
    </row>
    <row r="137" spans="1:3" x14ac:dyDescent="0.2">
      <c r="A137" t="s">
        <v>70</v>
      </c>
      <c r="B137" s="8" t="s">
        <v>141</v>
      </c>
      <c r="C137" s="6"/>
    </row>
    <row r="138" spans="1:3" ht="45" x14ac:dyDescent="0.2">
      <c r="A138" t="s">
        <v>40</v>
      </c>
      <c r="B138" s="6" t="s">
        <v>204</v>
      </c>
      <c r="C138" s="6"/>
    </row>
    <row r="139" spans="1:3" x14ac:dyDescent="0.2">
      <c r="A139" t="s">
        <v>162</v>
      </c>
      <c r="B139" s="8" t="s">
        <v>152</v>
      </c>
      <c r="C139" s="6"/>
    </row>
    <row r="140" spans="1:3" x14ac:dyDescent="0.2">
      <c r="A140" t="s">
        <v>161</v>
      </c>
      <c r="B140" s="8" t="s">
        <v>153</v>
      </c>
      <c r="C140" s="6"/>
    </row>
    <row r="141" spans="1:3" ht="30" x14ac:dyDescent="0.2">
      <c r="A141" s="33" t="s">
        <v>71</v>
      </c>
      <c r="B141" s="32" t="s">
        <v>142</v>
      </c>
      <c r="C141" s="6" t="s">
        <v>205</v>
      </c>
    </row>
    <row r="142" spans="1:3" ht="30" x14ac:dyDescent="0.2">
      <c r="A142" s="33"/>
      <c r="B142" s="32"/>
      <c r="C142" s="6" t="s">
        <v>206</v>
      </c>
    </row>
    <row r="143" spans="1:3" ht="30" x14ac:dyDescent="0.2">
      <c r="A143" s="33"/>
      <c r="B143" s="32"/>
      <c r="C143" s="6" t="s">
        <v>207</v>
      </c>
    </row>
    <row r="144" spans="1:3" x14ac:dyDescent="0.2">
      <c r="A144" t="s">
        <v>72</v>
      </c>
      <c r="B144" s="8" t="s">
        <v>143</v>
      </c>
      <c r="C144" s="6" t="s">
        <v>144</v>
      </c>
    </row>
    <row r="145" spans="1:3" x14ac:dyDescent="0.2">
      <c r="A145" t="s">
        <v>73</v>
      </c>
      <c r="B145" s="8" t="s">
        <v>145</v>
      </c>
      <c r="C145" s="6" t="s">
        <v>144</v>
      </c>
    </row>
    <row r="146" spans="1:3" x14ac:dyDescent="0.2">
      <c r="A146" t="s">
        <v>75</v>
      </c>
      <c r="B146" s="8" t="s">
        <v>146</v>
      </c>
      <c r="C146" s="6" t="s">
        <v>144</v>
      </c>
    </row>
    <row r="147" spans="1:3" x14ac:dyDescent="0.2">
      <c r="A147" t="s">
        <v>74</v>
      </c>
      <c r="B147" s="8" t="s">
        <v>147</v>
      </c>
      <c r="C147" s="6" t="s">
        <v>144</v>
      </c>
    </row>
    <row r="148" spans="1:3" x14ac:dyDescent="0.2">
      <c r="A148" t="s">
        <v>76</v>
      </c>
      <c r="B148" s="8" t="s">
        <v>148</v>
      </c>
      <c r="C148" s="6" t="s">
        <v>144</v>
      </c>
    </row>
    <row r="149" spans="1:3" x14ac:dyDescent="0.2">
      <c r="A149" t="s">
        <v>77</v>
      </c>
      <c r="B149" s="8" t="s">
        <v>149</v>
      </c>
      <c r="C149" s="6" t="s">
        <v>144</v>
      </c>
    </row>
    <row r="150" spans="1:3" x14ac:dyDescent="0.2">
      <c r="A150" t="s">
        <v>5</v>
      </c>
      <c r="B150" s="8"/>
      <c r="C150" s="6"/>
    </row>
    <row r="151" spans="1:3" ht="60" x14ac:dyDescent="0.2">
      <c r="A151" t="s">
        <v>68</v>
      </c>
      <c r="B151" s="8" t="s">
        <v>210</v>
      </c>
      <c r="C151" s="6"/>
    </row>
    <row r="152" spans="1:3" ht="75" x14ac:dyDescent="0.2">
      <c r="A152" t="s">
        <v>69</v>
      </c>
      <c r="B152" s="8" t="s">
        <v>211</v>
      </c>
      <c r="C152" s="6"/>
    </row>
    <row r="153" spans="1:3" ht="30" x14ac:dyDescent="0.2">
      <c r="A153" t="s">
        <v>6</v>
      </c>
      <c r="B153" s="8" t="s">
        <v>154</v>
      </c>
      <c r="C153" s="6"/>
    </row>
    <row r="154" spans="1:3" x14ac:dyDescent="0.2">
      <c r="A154" s="7"/>
      <c r="B154" s="8"/>
      <c r="C154" s="6"/>
    </row>
    <row r="155" spans="1:3" x14ac:dyDescent="0.2">
      <c r="A155" s="4" t="s">
        <v>155</v>
      </c>
      <c r="B155" s="4" t="s">
        <v>140</v>
      </c>
      <c r="C155" s="5" t="s">
        <v>81</v>
      </c>
    </row>
    <row r="156" spans="1:3" x14ac:dyDescent="0.2">
      <c r="A156" t="s">
        <v>163</v>
      </c>
      <c r="B156" s="8" t="s">
        <v>188</v>
      </c>
      <c r="C156" s="6"/>
    </row>
    <row r="157" spans="1:3" ht="30" x14ac:dyDescent="0.2">
      <c r="A157" s="7"/>
      <c r="B157" s="8" t="s">
        <v>157</v>
      </c>
      <c r="C157" s="6" t="s">
        <v>158</v>
      </c>
    </row>
    <row r="159" spans="1:3" x14ac:dyDescent="0.2">
      <c r="A159" s="4" t="s">
        <v>189</v>
      </c>
      <c r="B159" s="4" t="s">
        <v>140</v>
      </c>
      <c r="C159" s="5" t="s">
        <v>81</v>
      </c>
    </row>
    <row r="160" spans="1:3" x14ac:dyDescent="0.2">
      <c r="A160" t="s">
        <v>163</v>
      </c>
      <c r="B160" s="8" t="s">
        <v>188</v>
      </c>
      <c r="C160" s="6"/>
    </row>
    <row r="161" spans="1:3" ht="30" x14ac:dyDescent="0.2">
      <c r="A161" s="7"/>
      <c r="B161" s="8" t="s">
        <v>159</v>
      </c>
      <c r="C161" s="6" t="s">
        <v>158</v>
      </c>
    </row>
    <row r="163" spans="1:3" x14ac:dyDescent="0.2">
      <c r="A163" s="4" t="s">
        <v>190</v>
      </c>
      <c r="B163" s="4" t="s">
        <v>140</v>
      </c>
      <c r="C163" s="5" t="s">
        <v>81</v>
      </c>
    </row>
    <row r="164" spans="1:3" x14ac:dyDescent="0.2">
      <c r="A164" s="7" t="s">
        <v>191</v>
      </c>
      <c r="B164" s="8" t="s">
        <v>156</v>
      </c>
      <c r="C164" s="6"/>
    </row>
    <row r="165" spans="1:3" x14ac:dyDescent="0.2">
      <c r="A165" s="7" t="s">
        <v>192</v>
      </c>
      <c r="B165" s="8" t="s">
        <v>193</v>
      </c>
      <c r="C165" s="6"/>
    </row>
    <row r="166" spans="1:3" x14ac:dyDescent="0.2">
      <c r="A166" s="7" t="s">
        <v>194</v>
      </c>
      <c r="B166" s="8" t="s">
        <v>195</v>
      </c>
      <c r="C166" s="6"/>
    </row>
    <row r="167" spans="1:3" x14ac:dyDescent="0.2">
      <c r="A167" s="7" t="s">
        <v>196</v>
      </c>
      <c r="B167" s="8" t="s">
        <v>156</v>
      </c>
    </row>
    <row r="168" spans="1:3" x14ac:dyDescent="0.2">
      <c r="A168" s="7" t="s">
        <v>197</v>
      </c>
      <c r="B168" s="8" t="s">
        <v>193</v>
      </c>
    </row>
  </sheetData>
  <mergeCells count="12">
    <mergeCell ref="A76:A77"/>
    <mergeCell ref="B76:B77"/>
    <mergeCell ref="A122:A124"/>
    <mergeCell ref="B122:B124"/>
    <mergeCell ref="A141:A143"/>
    <mergeCell ref="B141:B143"/>
    <mergeCell ref="A78:A79"/>
    <mergeCell ref="B78:B79"/>
    <mergeCell ref="A90:A91"/>
    <mergeCell ref="B90:B91"/>
    <mergeCell ref="A114:A115"/>
    <mergeCell ref="B114:B115"/>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07240-03EC-4536-8B8A-31D70D0BE4D2}">
  <dimension ref="A1:K2"/>
  <sheetViews>
    <sheetView workbookViewId="0">
      <selection activeCell="L4" sqref="L4"/>
    </sheetView>
  </sheetViews>
  <sheetFormatPr baseColWidth="10" defaultColWidth="8.83203125" defaultRowHeight="15" x14ac:dyDescent="0.2"/>
  <cols>
    <col min="1" max="1" width="10.5" bestFit="1" customWidth="1"/>
    <col min="2" max="2" width="9.5" bestFit="1" customWidth="1"/>
    <col min="3" max="3" width="9.1640625" bestFit="1" customWidth="1"/>
    <col min="4" max="4" width="10.5" bestFit="1" customWidth="1"/>
    <col min="5" max="5" width="8.6640625" bestFit="1" customWidth="1"/>
  </cols>
  <sheetData>
    <row r="1" spans="1:11" x14ac:dyDescent="0.2">
      <c r="A1" s="9" t="s">
        <v>167</v>
      </c>
      <c r="B1" s="9" t="s">
        <v>168</v>
      </c>
      <c r="C1" s="9" t="s">
        <v>164</v>
      </c>
      <c r="D1" s="9" t="s">
        <v>165</v>
      </c>
      <c r="E1" s="9" t="s">
        <v>166</v>
      </c>
      <c r="F1" s="9" t="s">
        <v>214</v>
      </c>
      <c r="G1" s="9" t="s">
        <v>215</v>
      </c>
      <c r="H1" s="9" t="s">
        <v>216</v>
      </c>
      <c r="I1" s="9" t="s">
        <v>217</v>
      </c>
      <c r="J1" s="9" t="s">
        <v>218</v>
      </c>
      <c r="K1" s="9" t="s">
        <v>219</v>
      </c>
    </row>
    <row r="2" spans="1:11" x14ac:dyDescent="0.2">
      <c r="A2" s="20">
        <v>44562</v>
      </c>
      <c r="B2" s="21">
        <v>0</v>
      </c>
      <c r="C2" s="21">
        <v>4.1666666666666664E-2</v>
      </c>
      <c r="D2" s="20">
        <v>44563</v>
      </c>
      <c r="E2" s="21">
        <v>0</v>
      </c>
      <c r="F2" s="23">
        <v>50</v>
      </c>
      <c r="G2" s="23">
        <v>100</v>
      </c>
      <c r="H2" s="22">
        <v>1</v>
      </c>
      <c r="I2" s="24">
        <v>1E-4</v>
      </c>
      <c r="J2" s="24">
        <v>1E-4</v>
      </c>
      <c r="K2" s="23">
        <v>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4"/>
  <sheetViews>
    <sheetView topLeftCell="A3" workbookViewId="0">
      <selection activeCell="A2" sqref="A2:H14"/>
    </sheetView>
  </sheetViews>
  <sheetFormatPr baseColWidth="10" defaultColWidth="8.83203125" defaultRowHeight="15" x14ac:dyDescent="0.2"/>
  <cols>
    <col min="3" max="3" width="11.83203125" customWidth="1"/>
    <col min="4" max="4" width="12" customWidth="1"/>
  </cols>
  <sheetData>
    <row r="1" spans="1:8" x14ac:dyDescent="0.2">
      <c r="A1" s="9" t="s">
        <v>31</v>
      </c>
      <c r="B1" s="9" t="s">
        <v>32</v>
      </c>
      <c r="C1" s="9" t="s">
        <v>33</v>
      </c>
      <c r="D1" s="9" t="s">
        <v>160</v>
      </c>
      <c r="E1" s="9" t="s">
        <v>34</v>
      </c>
      <c r="F1" s="9" t="s">
        <v>0</v>
      </c>
      <c r="G1" s="9" t="s">
        <v>1</v>
      </c>
      <c r="H1" s="9" t="s">
        <v>198</v>
      </c>
    </row>
    <row r="2" spans="1:8" x14ac:dyDescent="0.2">
      <c r="A2">
        <v>1</v>
      </c>
      <c r="B2">
        <v>20</v>
      </c>
      <c r="C2" s="25">
        <v>1E-10</v>
      </c>
      <c r="D2">
        <v>4</v>
      </c>
      <c r="E2">
        <v>0</v>
      </c>
      <c r="F2">
        <v>0</v>
      </c>
      <c r="G2">
        <v>0</v>
      </c>
      <c r="H2">
        <v>4</v>
      </c>
    </row>
    <row r="3" spans="1:8" x14ac:dyDescent="0.2">
      <c r="A3" s="26">
        <v>2</v>
      </c>
      <c r="B3" s="26">
        <v>0.4</v>
      </c>
      <c r="C3" s="25">
        <v>1E-10</v>
      </c>
      <c r="D3" s="26">
        <v>4</v>
      </c>
      <c r="E3">
        <v>1</v>
      </c>
      <c r="F3">
        <v>0</v>
      </c>
      <c r="G3">
        <v>0</v>
      </c>
      <c r="H3">
        <v>4</v>
      </c>
    </row>
    <row r="4" spans="1:8" x14ac:dyDescent="0.2">
      <c r="A4" s="26">
        <v>3</v>
      </c>
      <c r="B4" s="26">
        <v>0.4</v>
      </c>
      <c r="C4" s="25">
        <v>10000000000</v>
      </c>
      <c r="D4" s="26">
        <v>4</v>
      </c>
      <c r="E4">
        <v>3</v>
      </c>
      <c r="F4">
        <v>0</v>
      </c>
      <c r="G4">
        <v>0</v>
      </c>
      <c r="H4">
        <v>4</v>
      </c>
    </row>
    <row r="5" spans="1:8" x14ac:dyDescent="0.2">
      <c r="A5" s="26">
        <v>4</v>
      </c>
      <c r="B5" s="26">
        <v>0.4</v>
      </c>
      <c r="C5" s="25">
        <v>10000000000</v>
      </c>
      <c r="D5" s="26">
        <v>4</v>
      </c>
      <c r="E5">
        <v>4</v>
      </c>
      <c r="F5">
        <v>0</v>
      </c>
      <c r="G5">
        <v>0</v>
      </c>
      <c r="H5">
        <v>4</v>
      </c>
    </row>
    <row r="6" spans="1:8" x14ac:dyDescent="0.2">
      <c r="A6" s="26">
        <v>5</v>
      </c>
      <c r="B6" s="26">
        <v>0.4</v>
      </c>
      <c r="C6" s="25">
        <v>10000000000</v>
      </c>
      <c r="D6" s="26">
        <v>4</v>
      </c>
      <c r="E6">
        <v>6</v>
      </c>
      <c r="F6">
        <v>0</v>
      </c>
      <c r="G6">
        <v>0</v>
      </c>
      <c r="H6">
        <v>4</v>
      </c>
    </row>
    <row r="7" spans="1:8" x14ac:dyDescent="0.2">
      <c r="A7" s="26">
        <v>6</v>
      </c>
      <c r="B7" s="26">
        <v>0.4</v>
      </c>
      <c r="C7" s="25">
        <v>10000000000</v>
      </c>
      <c r="D7" s="26">
        <v>4</v>
      </c>
      <c r="E7">
        <v>9</v>
      </c>
      <c r="F7">
        <v>0</v>
      </c>
      <c r="G7">
        <v>0</v>
      </c>
      <c r="H7">
        <v>4</v>
      </c>
    </row>
    <row r="8" spans="1:8" x14ac:dyDescent="0.2">
      <c r="A8" s="26">
        <v>7</v>
      </c>
      <c r="B8" s="26">
        <v>0.4</v>
      </c>
      <c r="C8" s="25">
        <v>10000000000</v>
      </c>
      <c r="D8" s="26">
        <v>4</v>
      </c>
      <c r="E8">
        <v>10</v>
      </c>
      <c r="F8">
        <v>0</v>
      </c>
      <c r="G8">
        <v>0</v>
      </c>
      <c r="H8">
        <v>4</v>
      </c>
    </row>
    <row r="9" spans="1:8" x14ac:dyDescent="0.2">
      <c r="A9" s="26">
        <v>8</v>
      </c>
      <c r="B9" s="26">
        <v>0.4</v>
      </c>
      <c r="C9" s="25">
        <v>10000000000</v>
      </c>
      <c r="D9" s="26">
        <v>4</v>
      </c>
      <c r="E9">
        <v>11</v>
      </c>
      <c r="F9">
        <v>0</v>
      </c>
      <c r="G9">
        <v>0</v>
      </c>
      <c r="H9">
        <v>4</v>
      </c>
    </row>
    <row r="10" spans="1:8" x14ac:dyDescent="0.2">
      <c r="A10" s="26">
        <v>9</v>
      </c>
      <c r="B10" s="26">
        <v>0.4</v>
      </c>
      <c r="C10" s="25">
        <v>10000000000</v>
      </c>
      <c r="D10" s="26">
        <v>4</v>
      </c>
      <c r="E10">
        <v>14</v>
      </c>
      <c r="F10">
        <v>0</v>
      </c>
      <c r="G10">
        <v>0</v>
      </c>
      <c r="H10">
        <v>4</v>
      </c>
    </row>
    <row r="11" spans="1:8" x14ac:dyDescent="0.2">
      <c r="A11" s="26">
        <v>10</v>
      </c>
      <c r="B11" s="26">
        <v>0.4</v>
      </c>
      <c r="C11" s="25">
        <v>10000000000</v>
      </c>
      <c r="D11" s="26">
        <v>4</v>
      </c>
      <c r="E11">
        <v>15</v>
      </c>
      <c r="F11">
        <v>0</v>
      </c>
      <c r="G11">
        <v>0</v>
      </c>
      <c r="H11">
        <v>4</v>
      </c>
    </row>
    <row r="12" spans="1:8" x14ac:dyDescent="0.2">
      <c r="A12" s="26">
        <v>11</v>
      </c>
      <c r="B12" s="26">
        <v>0.4</v>
      </c>
      <c r="C12" s="25">
        <v>10000000000</v>
      </c>
      <c r="D12" s="26">
        <v>4</v>
      </c>
      <c r="E12">
        <v>16</v>
      </c>
      <c r="F12">
        <v>0</v>
      </c>
      <c r="G12">
        <v>0</v>
      </c>
      <c r="H12">
        <v>4</v>
      </c>
    </row>
    <row r="13" spans="1:8" x14ac:dyDescent="0.2">
      <c r="A13" s="26">
        <v>12</v>
      </c>
      <c r="B13" s="26">
        <v>0.4</v>
      </c>
      <c r="C13" s="25">
        <v>10000000000</v>
      </c>
      <c r="D13" s="26">
        <v>4</v>
      </c>
      <c r="E13">
        <v>17</v>
      </c>
      <c r="F13">
        <v>0</v>
      </c>
      <c r="G13">
        <v>0</v>
      </c>
      <c r="H13">
        <v>4</v>
      </c>
    </row>
    <row r="14" spans="1:8" x14ac:dyDescent="0.2">
      <c r="A14" s="26">
        <v>13</v>
      </c>
      <c r="B14" s="26">
        <v>0.4</v>
      </c>
      <c r="C14" s="25">
        <v>10000000000</v>
      </c>
      <c r="D14" s="26">
        <v>4</v>
      </c>
      <c r="E14">
        <v>18</v>
      </c>
      <c r="F14">
        <v>0</v>
      </c>
      <c r="G14">
        <v>0</v>
      </c>
      <c r="H14">
        <v>4</v>
      </c>
    </row>
  </sheetData>
  <sortState xmlns:xlrd2="http://schemas.microsoft.com/office/spreadsheetml/2017/richdata2" ref="A2:G4">
    <sortCondition ref="E2"/>
  </sortState>
  <dataConsolidate/>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2"/>
  <sheetViews>
    <sheetView zoomScaleNormal="100" workbookViewId="0">
      <selection sqref="A1:F8"/>
    </sheetView>
  </sheetViews>
  <sheetFormatPr baseColWidth="10" defaultColWidth="8.83203125" defaultRowHeight="15" x14ac:dyDescent="0.2"/>
  <cols>
    <col min="8" max="8" width="76.83203125" customWidth="1"/>
  </cols>
  <sheetData>
    <row r="1" spans="1:6" x14ac:dyDescent="0.2">
      <c r="A1" t="s">
        <v>35</v>
      </c>
      <c r="B1" t="s">
        <v>36</v>
      </c>
      <c r="C1" t="s">
        <v>37</v>
      </c>
      <c r="D1" t="s">
        <v>38</v>
      </c>
      <c r="E1" t="s">
        <v>39</v>
      </c>
      <c r="F1" t="s">
        <v>30</v>
      </c>
    </row>
    <row r="2" spans="1:6" x14ac:dyDescent="0.2">
      <c r="A2">
        <v>1</v>
      </c>
      <c r="B2">
        <v>1.7500000000000002E-2</v>
      </c>
      <c r="C2">
        <v>0.76685999999999999</v>
      </c>
      <c r="D2">
        <v>0.16200000000000001</v>
      </c>
      <c r="E2">
        <v>0</v>
      </c>
      <c r="F2">
        <v>0.24</v>
      </c>
    </row>
    <row r="3" spans="1:6" x14ac:dyDescent="0.2">
      <c r="A3">
        <v>2</v>
      </c>
      <c r="B3">
        <v>1.38E-2</v>
      </c>
      <c r="C3">
        <v>0.76956999999999998</v>
      </c>
      <c r="D3">
        <v>0.26500000000000001</v>
      </c>
      <c r="E3">
        <v>0</v>
      </c>
      <c r="F3">
        <v>0.24</v>
      </c>
    </row>
    <row r="4" spans="1:6" x14ac:dyDescent="0.2">
      <c r="A4">
        <v>3</v>
      </c>
      <c r="B4">
        <v>1.24E-2</v>
      </c>
      <c r="C4">
        <v>0.76612999999999998</v>
      </c>
      <c r="D4">
        <v>0.32500000000000001</v>
      </c>
      <c r="E4">
        <v>0</v>
      </c>
      <c r="F4">
        <v>0.24</v>
      </c>
    </row>
    <row r="5" spans="1:6" x14ac:dyDescent="0.2">
      <c r="A5">
        <v>4</v>
      </c>
      <c r="B5">
        <v>5.64E-3</v>
      </c>
      <c r="C5">
        <v>0.78013999999999994</v>
      </c>
      <c r="D5">
        <v>1.54</v>
      </c>
      <c r="E5">
        <v>0</v>
      </c>
      <c r="F5">
        <v>0.24</v>
      </c>
    </row>
    <row r="6" spans="1:6" x14ac:dyDescent="0.2">
      <c r="A6">
        <v>5</v>
      </c>
      <c r="B6">
        <v>6.6800000000000002E-3</v>
      </c>
      <c r="C6">
        <v>0.77844000000000002</v>
      </c>
      <c r="D6">
        <v>1.1100000000000001</v>
      </c>
      <c r="E6">
        <v>0</v>
      </c>
      <c r="F6">
        <v>0.24</v>
      </c>
    </row>
    <row r="7" spans="1:6" x14ac:dyDescent="0.2">
      <c r="A7">
        <v>6</v>
      </c>
      <c r="B7">
        <v>9.4400000000000005E-3</v>
      </c>
      <c r="C7">
        <v>0.77966000000000002</v>
      </c>
      <c r="D7">
        <v>0.56799999999999995</v>
      </c>
      <c r="E7">
        <v>0</v>
      </c>
      <c r="F7">
        <v>0.24</v>
      </c>
    </row>
    <row r="8" spans="1:6" x14ac:dyDescent="0.2">
      <c r="A8">
        <v>7</v>
      </c>
      <c r="B8">
        <v>5.1000000000000004E-3</v>
      </c>
      <c r="C8">
        <v>0.77880000000000005</v>
      </c>
      <c r="D8">
        <v>1.1499999999999999</v>
      </c>
      <c r="E8">
        <v>0</v>
      </c>
      <c r="F8">
        <v>0.24</v>
      </c>
    </row>
    <row r="24" spans="8:9" x14ac:dyDescent="0.2">
      <c r="H24" s="1"/>
    </row>
    <row r="25" spans="8:9" x14ac:dyDescent="0.2">
      <c r="H25" s="1"/>
      <c r="I25" s="2"/>
    </row>
    <row r="26" spans="8:9" x14ac:dyDescent="0.2">
      <c r="H26" s="1"/>
    </row>
    <row r="27" spans="8:9" x14ac:dyDescent="0.2">
      <c r="H27" s="1"/>
    </row>
    <row r="28" spans="8:9" x14ac:dyDescent="0.2">
      <c r="H28" s="1"/>
    </row>
    <row r="29" spans="8:9" x14ac:dyDescent="0.2">
      <c r="H29" s="1"/>
    </row>
    <row r="30" spans="8:9" x14ac:dyDescent="0.2">
      <c r="H30" s="1"/>
    </row>
    <row r="31" spans="8:9" x14ac:dyDescent="0.2">
      <c r="H31" s="1"/>
    </row>
    <row r="32" spans="8:9" x14ac:dyDescent="0.2">
      <c r="H32" s="1"/>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5"/>
  <sheetViews>
    <sheetView workbookViewId="0">
      <selection sqref="A1:E25"/>
    </sheetView>
  </sheetViews>
  <sheetFormatPr baseColWidth="10" defaultColWidth="8.83203125" defaultRowHeight="15" x14ac:dyDescent="0.2"/>
  <sheetData>
    <row r="1" spans="1:5" x14ac:dyDescent="0.2">
      <c r="A1" t="s">
        <v>23</v>
      </c>
      <c r="B1" t="s">
        <v>40</v>
      </c>
      <c r="C1" t="s">
        <v>35</v>
      </c>
      <c r="D1" t="s">
        <v>41</v>
      </c>
      <c r="E1" t="s">
        <v>42</v>
      </c>
    </row>
    <row r="2" spans="1:5" x14ac:dyDescent="0.2">
      <c r="A2" s="27">
        <v>1</v>
      </c>
      <c r="B2" s="28">
        <v>1</v>
      </c>
      <c r="C2" s="28">
        <v>1</v>
      </c>
      <c r="D2" s="29">
        <v>5.1999999999999998E-2</v>
      </c>
      <c r="E2" s="29">
        <v>0.152</v>
      </c>
    </row>
    <row r="3" spans="1:5" x14ac:dyDescent="0.2">
      <c r="A3" s="27">
        <v>1</v>
      </c>
      <c r="B3" s="28">
        <v>2</v>
      </c>
      <c r="C3" s="28">
        <v>1</v>
      </c>
      <c r="D3" s="29">
        <v>0</v>
      </c>
      <c r="E3" s="29">
        <v>0.152</v>
      </c>
    </row>
    <row r="4" spans="1:5" x14ac:dyDescent="0.2">
      <c r="A4" s="27">
        <v>1</v>
      </c>
      <c r="B4" s="28">
        <v>3</v>
      </c>
      <c r="C4" s="28">
        <v>1</v>
      </c>
      <c r="D4" s="29">
        <v>5.1999999999999998E-2</v>
      </c>
      <c r="E4" s="29">
        <v>0.1</v>
      </c>
    </row>
    <row r="5" spans="1:5" x14ac:dyDescent="0.2">
      <c r="A5" s="27">
        <v>1</v>
      </c>
      <c r="B5" s="28">
        <v>4</v>
      </c>
      <c r="C5" s="28">
        <v>2</v>
      </c>
      <c r="D5" s="29">
        <v>0</v>
      </c>
      <c r="E5" s="29">
        <v>0.1</v>
      </c>
    </row>
    <row r="6" spans="1:5" x14ac:dyDescent="0.2">
      <c r="A6" s="27">
        <v>2</v>
      </c>
      <c r="B6" s="28">
        <v>1</v>
      </c>
      <c r="C6" s="28">
        <v>2</v>
      </c>
      <c r="D6" s="29">
        <v>4.2000000000000003E-2</v>
      </c>
      <c r="E6" s="29">
        <v>0.14199999999999999</v>
      </c>
    </row>
    <row r="7" spans="1:5" x14ac:dyDescent="0.2">
      <c r="A7" s="27">
        <v>2</v>
      </c>
      <c r="B7" s="28">
        <v>2</v>
      </c>
      <c r="C7" s="28">
        <v>2</v>
      </c>
      <c r="D7" s="29">
        <v>0</v>
      </c>
      <c r="E7" s="29">
        <v>0.14199999999999999</v>
      </c>
    </row>
    <row r="8" spans="1:5" x14ac:dyDescent="0.2">
      <c r="A8" s="27">
        <v>2</v>
      </c>
      <c r="B8" s="28">
        <v>3</v>
      </c>
      <c r="C8" s="28">
        <v>2</v>
      </c>
      <c r="D8" s="29">
        <v>4.2000000000000003E-2</v>
      </c>
      <c r="E8" s="29">
        <v>0.1</v>
      </c>
    </row>
    <row r="9" spans="1:5" x14ac:dyDescent="0.2">
      <c r="A9" s="27">
        <v>2</v>
      </c>
      <c r="B9" s="28">
        <v>4</v>
      </c>
      <c r="C9" s="28">
        <v>3</v>
      </c>
      <c r="D9" s="29">
        <v>0</v>
      </c>
      <c r="E9" s="29">
        <v>0.1</v>
      </c>
    </row>
    <row r="10" spans="1:5" x14ac:dyDescent="0.2">
      <c r="A10" s="27">
        <v>3</v>
      </c>
      <c r="B10" s="28">
        <v>1</v>
      </c>
      <c r="C10" s="28">
        <v>3</v>
      </c>
      <c r="D10" s="29">
        <v>3.9E-2</v>
      </c>
      <c r="E10" s="29">
        <v>0.13900000000000001</v>
      </c>
    </row>
    <row r="11" spans="1:5" x14ac:dyDescent="0.2">
      <c r="A11" s="27">
        <v>3</v>
      </c>
      <c r="B11" s="28">
        <v>2</v>
      </c>
      <c r="C11" s="28">
        <v>3</v>
      </c>
      <c r="D11" s="29">
        <v>0</v>
      </c>
      <c r="E11" s="29">
        <v>0.13900000000000001</v>
      </c>
    </row>
    <row r="12" spans="1:5" x14ac:dyDescent="0.2">
      <c r="A12" s="27">
        <v>3</v>
      </c>
      <c r="B12" s="28">
        <v>3</v>
      </c>
      <c r="C12" s="28">
        <v>3</v>
      </c>
      <c r="D12" s="29">
        <v>3.9E-2</v>
      </c>
      <c r="E12" s="29">
        <v>0.1</v>
      </c>
    </row>
    <row r="13" spans="1:5" x14ac:dyDescent="0.2">
      <c r="A13" s="27">
        <v>3</v>
      </c>
      <c r="B13" s="28">
        <v>4</v>
      </c>
      <c r="C13" s="28">
        <v>6</v>
      </c>
      <c r="D13" s="29">
        <v>0</v>
      </c>
      <c r="E13" s="29">
        <v>0.1</v>
      </c>
    </row>
    <row r="14" spans="1:5" x14ac:dyDescent="0.2">
      <c r="A14" s="27">
        <v>4</v>
      </c>
      <c r="B14" s="28">
        <v>1</v>
      </c>
      <c r="C14" s="28">
        <v>4</v>
      </c>
      <c r="D14" s="29">
        <v>2.4E-2</v>
      </c>
      <c r="E14" s="29">
        <v>0.124</v>
      </c>
    </row>
    <row r="15" spans="1:5" x14ac:dyDescent="0.2">
      <c r="A15" s="27">
        <v>4</v>
      </c>
      <c r="B15" s="28">
        <v>2</v>
      </c>
      <c r="C15" s="28">
        <v>4</v>
      </c>
      <c r="D15" s="29">
        <v>0</v>
      </c>
      <c r="E15" s="29">
        <v>0.124</v>
      </c>
    </row>
    <row r="16" spans="1:5" x14ac:dyDescent="0.2">
      <c r="A16" s="27">
        <v>4</v>
      </c>
      <c r="B16" s="28">
        <v>3</v>
      </c>
      <c r="C16" s="28">
        <v>4</v>
      </c>
      <c r="D16" s="29">
        <v>2.4E-2</v>
      </c>
      <c r="E16" s="29">
        <v>0.1</v>
      </c>
    </row>
    <row r="17" spans="1:5" x14ac:dyDescent="0.2">
      <c r="A17" s="27">
        <v>4</v>
      </c>
      <c r="B17" s="28">
        <v>4</v>
      </c>
      <c r="C17" s="28">
        <v>7</v>
      </c>
      <c r="D17" s="29">
        <v>0</v>
      </c>
      <c r="E17" s="29">
        <v>0.1</v>
      </c>
    </row>
    <row r="18" spans="1:5" x14ac:dyDescent="0.2">
      <c r="A18" s="27">
        <v>5</v>
      </c>
      <c r="B18" s="28">
        <v>1</v>
      </c>
      <c r="C18" s="28">
        <v>5</v>
      </c>
      <c r="D18" s="29">
        <v>2.5999999999999999E-2</v>
      </c>
      <c r="E18" s="29">
        <v>0.126</v>
      </c>
    </row>
    <row r="19" spans="1:5" x14ac:dyDescent="0.2">
      <c r="A19" s="27">
        <v>5</v>
      </c>
      <c r="B19" s="28">
        <v>2</v>
      </c>
      <c r="C19" s="28">
        <v>5</v>
      </c>
      <c r="D19" s="29">
        <v>0</v>
      </c>
      <c r="E19" s="29">
        <v>0.126</v>
      </c>
    </row>
    <row r="20" spans="1:5" x14ac:dyDescent="0.2">
      <c r="A20" s="27">
        <v>5</v>
      </c>
      <c r="B20" s="28">
        <v>3</v>
      </c>
      <c r="C20" s="28">
        <v>5</v>
      </c>
      <c r="D20" s="29">
        <v>2.5999999999999999E-2</v>
      </c>
      <c r="E20" s="29">
        <v>0.1</v>
      </c>
    </row>
    <row r="21" spans="1:5" x14ac:dyDescent="0.2">
      <c r="A21" s="27">
        <v>5</v>
      </c>
      <c r="B21" s="28">
        <v>4</v>
      </c>
      <c r="C21" s="28">
        <v>7</v>
      </c>
      <c r="D21" s="29">
        <v>0</v>
      </c>
      <c r="E21" s="29">
        <v>0.1</v>
      </c>
    </row>
    <row r="22" spans="1:5" x14ac:dyDescent="0.2">
      <c r="A22" s="27">
        <v>6</v>
      </c>
      <c r="B22" s="28">
        <v>1</v>
      </c>
      <c r="C22" s="28">
        <v>6</v>
      </c>
      <c r="D22" s="29">
        <v>3.2000000000000001E-2</v>
      </c>
      <c r="E22" s="29">
        <v>0.13200000000000001</v>
      </c>
    </row>
    <row r="23" spans="1:5" x14ac:dyDescent="0.2">
      <c r="A23" s="27">
        <v>6</v>
      </c>
      <c r="B23" s="28">
        <v>2</v>
      </c>
      <c r="C23" s="28">
        <v>6</v>
      </c>
      <c r="D23" s="29">
        <v>0</v>
      </c>
      <c r="E23" s="29">
        <v>0.13200000000000001</v>
      </c>
    </row>
    <row r="24" spans="1:5" x14ac:dyDescent="0.2">
      <c r="A24" s="27">
        <v>6</v>
      </c>
      <c r="B24" s="28">
        <v>3</v>
      </c>
      <c r="C24" s="28">
        <v>6</v>
      </c>
      <c r="D24" s="29">
        <v>3.2000000000000001E-2</v>
      </c>
      <c r="E24" s="29">
        <v>0.1</v>
      </c>
    </row>
    <row r="25" spans="1:5" x14ac:dyDescent="0.2">
      <c r="A25" s="27">
        <v>6</v>
      </c>
      <c r="B25" s="28">
        <v>4</v>
      </c>
      <c r="C25" s="28">
        <v>5</v>
      </c>
      <c r="D25" s="29">
        <v>0</v>
      </c>
      <c r="E25" s="29">
        <v>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12E45-72DD-426C-AC3B-E4AED669E5E8}">
  <dimension ref="A1:S20"/>
  <sheetViews>
    <sheetView zoomScaleNormal="100" workbookViewId="0">
      <selection activeCell="F40" sqref="F40"/>
    </sheetView>
  </sheetViews>
  <sheetFormatPr baseColWidth="10" defaultColWidth="8.83203125" defaultRowHeight="15" x14ac:dyDescent="0.2"/>
  <cols>
    <col min="1" max="1" width="6.83203125" customWidth="1"/>
    <col min="2" max="2" width="7.1640625" bestFit="1" customWidth="1"/>
    <col min="3" max="3" width="10.1640625" bestFit="1" customWidth="1"/>
    <col min="4" max="4" width="19.83203125" bestFit="1" customWidth="1"/>
    <col min="5" max="6" width="20.33203125" bestFit="1" customWidth="1"/>
    <col min="7" max="7" width="20.6640625" bestFit="1" customWidth="1"/>
    <col min="8" max="8" width="20.33203125" bestFit="1" customWidth="1"/>
    <col min="9" max="9" width="20.6640625" bestFit="1" customWidth="1"/>
    <col min="10" max="10" width="20.33203125" bestFit="1" customWidth="1"/>
    <col min="11" max="11" width="20.6640625" bestFit="1" customWidth="1"/>
    <col min="12" max="13" width="24.33203125" bestFit="1" customWidth="1"/>
    <col min="14" max="19" width="24.83203125" bestFit="1" customWidth="1"/>
  </cols>
  <sheetData>
    <row r="1" spans="1:19" x14ac:dyDescent="0.2">
      <c r="A1" s="9" t="s">
        <v>23</v>
      </c>
      <c r="B1" s="9" t="s">
        <v>40</v>
      </c>
      <c r="C1" s="9" t="s">
        <v>30</v>
      </c>
      <c r="D1" s="3" t="s">
        <v>7</v>
      </c>
      <c r="E1" s="3" t="s">
        <v>8</v>
      </c>
      <c r="F1" s="3" t="s">
        <v>9</v>
      </c>
      <c r="G1" s="3" t="s">
        <v>10</v>
      </c>
      <c r="H1" s="3" t="s">
        <v>11</v>
      </c>
      <c r="I1" s="3" t="s">
        <v>13</v>
      </c>
      <c r="J1" s="3" t="s">
        <v>14</v>
      </c>
      <c r="K1" s="3" t="s">
        <v>12</v>
      </c>
      <c r="L1" s="3" t="s">
        <v>15</v>
      </c>
      <c r="M1" s="3" t="s">
        <v>16</v>
      </c>
      <c r="N1" s="3" t="s">
        <v>17</v>
      </c>
      <c r="O1" s="3" t="s">
        <v>18</v>
      </c>
      <c r="P1" s="3" t="s">
        <v>19</v>
      </c>
      <c r="Q1" s="3" t="s">
        <v>20</v>
      </c>
      <c r="R1" s="3" t="s">
        <v>21</v>
      </c>
      <c r="S1" s="3" t="s">
        <v>22</v>
      </c>
    </row>
    <row r="2" spans="1:19" x14ac:dyDescent="0.2">
      <c r="A2" s="10">
        <v>601</v>
      </c>
      <c r="B2" s="10">
        <v>1</v>
      </c>
      <c r="C2" s="10">
        <v>1</v>
      </c>
      <c r="D2" s="11">
        <v>0.21530565324915801</v>
      </c>
      <c r="E2" s="11">
        <v>0.63249530863583836</v>
      </c>
      <c r="F2" s="12">
        <v>9.6934146917369859E-2</v>
      </c>
      <c r="G2" s="12">
        <v>0.31174270197720805</v>
      </c>
      <c r="H2" s="12">
        <v>9.8176892390669471E-2</v>
      </c>
      <c r="I2" s="12">
        <v>0.2632134912448581</v>
      </c>
      <c r="J2" s="9">
        <v>0</v>
      </c>
      <c r="K2" s="9">
        <v>0</v>
      </c>
      <c r="L2" s="13">
        <v>0</v>
      </c>
      <c r="M2" s="13">
        <v>3.9145239663464529E-6</v>
      </c>
      <c r="N2" s="14">
        <v>0</v>
      </c>
      <c r="O2" s="14">
        <v>-1.2401357078056842E-6</v>
      </c>
      <c r="P2" s="14">
        <v>0</v>
      </c>
      <c r="Q2" s="14">
        <v>-7.8261896181043159E-7</v>
      </c>
      <c r="R2" s="9">
        <v>0</v>
      </c>
      <c r="S2" s="9">
        <v>0</v>
      </c>
    </row>
    <row r="3" spans="1:19" x14ac:dyDescent="0.2">
      <c r="A3" s="10">
        <v>601</v>
      </c>
      <c r="B3" s="10">
        <v>2</v>
      </c>
      <c r="C3" s="10">
        <v>1</v>
      </c>
      <c r="D3" s="12">
        <v>9.6934146917369859E-2</v>
      </c>
      <c r="E3" s="12">
        <v>0.31174270197720805</v>
      </c>
      <c r="F3" s="11">
        <v>0.20971329861930979</v>
      </c>
      <c r="G3" s="11">
        <v>0.65107435346166753</v>
      </c>
      <c r="H3" s="12">
        <v>9.5380715075745331E-2</v>
      </c>
      <c r="I3" s="12">
        <v>0.23916636633651064</v>
      </c>
      <c r="J3" s="9">
        <v>0</v>
      </c>
      <c r="K3" s="9">
        <v>0</v>
      </c>
      <c r="L3" s="14">
        <v>0</v>
      </c>
      <c r="M3" s="14">
        <v>-1.2401357078056842E-6</v>
      </c>
      <c r="N3" s="13">
        <v>0</v>
      </c>
      <c r="O3" s="13">
        <v>3.7031950986118532E-6</v>
      </c>
      <c r="P3" s="14">
        <v>0</v>
      </c>
      <c r="Q3" s="14">
        <v>-4.6087215877316163E-7</v>
      </c>
      <c r="R3" s="9">
        <v>0</v>
      </c>
      <c r="S3" s="9">
        <v>0</v>
      </c>
    </row>
    <row r="4" spans="1:19" x14ac:dyDescent="0.2">
      <c r="A4" s="10">
        <v>601</v>
      </c>
      <c r="B4" s="10">
        <v>3</v>
      </c>
      <c r="C4" s="10">
        <v>1</v>
      </c>
      <c r="D4" s="12">
        <v>9.8176892390669471E-2</v>
      </c>
      <c r="E4" s="12">
        <v>0.2632134912448581</v>
      </c>
      <c r="F4" s="12">
        <v>9.5380715075745331E-2</v>
      </c>
      <c r="G4" s="12">
        <v>0.23916636633651064</v>
      </c>
      <c r="H4" s="11">
        <v>0.21213665229224402</v>
      </c>
      <c r="I4" s="11">
        <v>0.64299650788522</v>
      </c>
      <c r="J4" s="9">
        <v>0</v>
      </c>
      <c r="K4" s="9">
        <v>0</v>
      </c>
      <c r="L4" s="14">
        <v>0</v>
      </c>
      <c r="M4" s="14">
        <v>-7.8261896181043159E-7</v>
      </c>
      <c r="N4" s="14">
        <v>0</v>
      </c>
      <c r="O4" s="14">
        <v>-4.6087215877316163E-7</v>
      </c>
      <c r="P4" s="13">
        <v>0</v>
      </c>
      <c r="Q4" s="13">
        <v>3.5036723128736005E-6</v>
      </c>
      <c r="R4" s="9">
        <v>0</v>
      </c>
      <c r="S4" s="9">
        <v>0</v>
      </c>
    </row>
    <row r="5" spans="1:19" x14ac:dyDescent="0.2">
      <c r="A5" s="15">
        <v>602</v>
      </c>
      <c r="B5" s="15">
        <v>1</v>
      </c>
      <c r="C5" s="15">
        <v>1</v>
      </c>
      <c r="D5" s="16">
        <v>0.4676451216026446</v>
      </c>
      <c r="E5" s="16">
        <v>0.73408975107808172</v>
      </c>
      <c r="F5" s="17">
        <v>9.8176892390669471E-2</v>
      </c>
      <c r="G5" s="17">
        <v>0.2632134912448581</v>
      </c>
      <c r="H5" s="17">
        <v>9.6934146917369859E-2</v>
      </c>
      <c r="I5" s="17">
        <v>0.23916636633651064</v>
      </c>
      <c r="J5" s="9">
        <v>0</v>
      </c>
      <c r="K5" s="9">
        <v>0</v>
      </c>
      <c r="L5" s="18">
        <v>0</v>
      </c>
      <c r="M5" s="18">
        <v>3.5412032261672485E-6</v>
      </c>
      <c r="N5" s="19">
        <v>0</v>
      </c>
      <c r="O5" s="19">
        <v>-6.7213888923409601E-7</v>
      </c>
      <c r="P5" s="19">
        <v>0</v>
      </c>
      <c r="Q5" s="19">
        <v>-1.0504306113064981E-6</v>
      </c>
      <c r="R5" s="9">
        <v>0</v>
      </c>
      <c r="S5" s="9">
        <v>0</v>
      </c>
    </row>
    <row r="6" spans="1:19" x14ac:dyDescent="0.2">
      <c r="A6" s="15">
        <v>602</v>
      </c>
      <c r="B6" s="15">
        <v>2</v>
      </c>
      <c r="C6" s="15">
        <v>1</v>
      </c>
      <c r="D6" s="17">
        <v>9.8176892390669471E-2</v>
      </c>
      <c r="E6" s="17">
        <v>0.2632134912448581</v>
      </c>
      <c r="F6" s="16">
        <v>0.46447612064573057</v>
      </c>
      <c r="G6" s="16">
        <v>0.74459095032746336</v>
      </c>
      <c r="H6" s="17">
        <v>9.5380715075745331E-2</v>
      </c>
      <c r="I6" s="17">
        <v>0.23916636633651064</v>
      </c>
      <c r="J6" s="9">
        <v>0</v>
      </c>
      <c r="K6" s="9">
        <v>0</v>
      </c>
      <c r="L6" s="19">
        <v>0</v>
      </c>
      <c r="M6" s="19">
        <v>-6.7213888923409601E-7</v>
      </c>
      <c r="N6" s="18">
        <v>0</v>
      </c>
      <c r="O6" s="18">
        <v>3.2184000894776738E-6</v>
      </c>
      <c r="P6" s="19">
        <v>0</v>
      </c>
      <c r="Q6" s="19">
        <v>-4.0936035890489269E-7</v>
      </c>
      <c r="R6" s="9">
        <v>0</v>
      </c>
      <c r="S6" s="9">
        <v>0</v>
      </c>
    </row>
    <row r="7" spans="1:19" x14ac:dyDescent="0.2">
      <c r="A7" s="15">
        <v>602</v>
      </c>
      <c r="B7" s="15">
        <v>3</v>
      </c>
      <c r="C7" s="15">
        <v>1</v>
      </c>
      <c r="D7" s="17">
        <v>9.6934146917369859E-2</v>
      </c>
      <c r="E7" s="17">
        <v>0.23916636633651064</v>
      </c>
      <c r="F7" s="17">
        <v>9.5380715075745331E-2</v>
      </c>
      <c r="G7" s="17">
        <v>0.23916636633651064</v>
      </c>
      <c r="H7" s="16">
        <v>0.46205276697279635</v>
      </c>
      <c r="I7" s="16">
        <v>0.75260665863024601</v>
      </c>
      <c r="J7" s="9">
        <v>0</v>
      </c>
      <c r="K7" s="9">
        <v>0</v>
      </c>
      <c r="L7" s="19">
        <v>0</v>
      </c>
      <c r="M7" s="19">
        <v>-1.0504306113064981E-6</v>
      </c>
      <c r="N7" s="19">
        <v>0</v>
      </c>
      <c r="O7" s="19">
        <v>-4.0936035890489269E-7</v>
      </c>
      <c r="P7" s="18">
        <v>0</v>
      </c>
      <c r="Q7" s="18">
        <v>3.3706985472305417E-6</v>
      </c>
      <c r="R7" s="9">
        <v>0</v>
      </c>
      <c r="S7" s="9">
        <v>0</v>
      </c>
    </row>
    <row r="8" spans="1:19" x14ac:dyDescent="0.2">
      <c r="A8" s="10">
        <v>603</v>
      </c>
      <c r="B8" s="10">
        <v>1</v>
      </c>
      <c r="C8" s="10">
        <v>1</v>
      </c>
      <c r="D8" s="11">
        <v>0.82605291610225307</v>
      </c>
      <c r="E8" s="11">
        <v>0.83705121354095469</v>
      </c>
      <c r="F8" s="12">
        <v>0.12837560739185008</v>
      </c>
      <c r="G8" s="12">
        <v>0.28527222339592628</v>
      </c>
      <c r="H8" s="12">
        <v>0</v>
      </c>
      <c r="I8" s="12">
        <v>0</v>
      </c>
      <c r="J8" s="9">
        <v>0</v>
      </c>
      <c r="K8" s="9">
        <v>0</v>
      </c>
      <c r="L8" s="13">
        <v>0</v>
      </c>
      <c r="M8" s="13">
        <v>2.9264791777995945E-6</v>
      </c>
      <c r="N8" s="14">
        <v>0</v>
      </c>
      <c r="O8" s="14">
        <v>-5.5917332571116102E-7</v>
      </c>
      <c r="P8" s="14">
        <v>0</v>
      </c>
      <c r="Q8" s="14">
        <v>0</v>
      </c>
      <c r="R8" s="9">
        <v>0</v>
      </c>
      <c r="S8" s="9">
        <v>0</v>
      </c>
    </row>
    <row r="9" spans="1:19" x14ac:dyDescent="0.2">
      <c r="A9" s="10">
        <v>603</v>
      </c>
      <c r="B9" s="10">
        <v>2</v>
      </c>
      <c r="C9" s="10">
        <v>1</v>
      </c>
      <c r="D9" s="12">
        <v>0.12837560739185008</v>
      </c>
      <c r="E9" s="12">
        <v>0.28527222339592628</v>
      </c>
      <c r="F9" s="11">
        <v>0.82257322877701422</v>
      </c>
      <c r="G9" s="11">
        <v>0.84314066636012275</v>
      </c>
      <c r="H9" s="12">
        <v>0</v>
      </c>
      <c r="I9" s="12">
        <v>0</v>
      </c>
      <c r="J9" s="9">
        <v>0</v>
      </c>
      <c r="K9" s="9">
        <v>0</v>
      </c>
      <c r="L9" s="14">
        <v>0</v>
      </c>
      <c r="M9" s="14">
        <v>-5.5917332571116102E-7</v>
      </c>
      <c r="N9" s="13">
        <v>0</v>
      </c>
      <c r="O9" s="13">
        <v>2.8992009146606686E-6</v>
      </c>
      <c r="P9" s="14">
        <v>0</v>
      </c>
      <c r="Q9" s="14">
        <v>0</v>
      </c>
      <c r="R9" s="9">
        <v>0</v>
      </c>
      <c r="S9" s="9">
        <v>0</v>
      </c>
    </row>
    <row r="10" spans="1:19" x14ac:dyDescent="0.2">
      <c r="A10" s="15">
        <v>604</v>
      </c>
      <c r="B10" s="15">
        <v>1</v>
      </c>
      <c r="C10" s="15">
        <v>1</v>
      </c>
      <c r="D10" s="16">
        <v>0.82257322877701422</v>
      </c>
      <c r="E10" s="16">
        <v>0.84314066636012275</v>
      </c>
      <c r="F10" s="17">
        <v>0.12837560739185008</v>
      </c>
      <c r="G10" s="17">
        <v>0.28527222339592628</v>
      </c>
      <c r="H10" s="17">
        <v>0</v>
      </c>
      <c r="I10" s="17">
        <v>0</v>
      </c>
      <c r="J10" s="9">
        <v>0</v>
      </c>
      <c r="K10" s="9">
        <v>0</v>
      </c>
      <c r="L10" s="18">
        <v>0</v>
      </c>
      <c r="M10" s="18">
        <v>2.8992009146606686E-6</v>
      </c>
      <c r="N10" s="19">
        <v>0</v>
      </c>
      <c r="O10" s="19">
        <v>-5.5917332571116102E-7</v>
      </c>
      <c r="P10" s="19">
        <v>0</v>
      </c>
      <c r="Q10" s="19">
        <v>0</v>
      </c>
      <c r="R10" s="9">
        <v>0</v>
      </c>
      <c r="S10" s="9">
        <v>0</v>
      </c>
    </row>
    <row r="11" spans="1:19" x14ac:dyDescent="0.2">
      <c r="A11" s="15">
        <v>604</v>
      </c>
      <c r="B11" s="15">
        <v>2</v>
      </c>
      <c r="C11" s="15">
        <v>1</v>
      </c>
      <c r="D11" s="17">
        <v>0.12837560739185008</v>
      </c>
      <c r="E11" s="17">
        <v>0.28527222339592628</v>
      </c>
      <c r="F11" s="16">
        <v>0.82605291610225307</v>
      </c>
      <c r="G11" s="16">
        <v>0.83705121354095469</v>
      </c>
      <c r="H11" s="17">
        <v>0</v>
      </c>
      <c r="I11" s="17">
        <v>0</v>
      </c>
      <c r="J11" s="9">
        <v>0</v>
      </c>
      <c r="K11" s="9">
        <v>0</v>
      </c>
      <c r="L11" s="19">
        <v>0</v>
      </c>
      <c r="M11" s="19">
        <v>-5.5917332571116102E-7</v>
      </c>
      <c r="N11" s="18">
        <v>0</v>
      </c>
      <c r="O11" s="18">
        <v>2.9807250177091225E-6</v>
      </c>
      <c r="P11" s="19">
        <v>0</v>
      </c>
      <c r="Q11" s="19">
        <v>0</v>
      </c>
      <c r="R11" s="9">
        <v>0</v>
      </c>
      <c r="S11" s="9">
        <v>0</v>
      </c>
    </row>
    <row r="12" spans="1:19" x14ac:dyDescent="0.2">
      <c r="A12" s="10">
        <v>605</v>
      </c>
      <c r="B12" s="10">
        <v>1</v>
      </c>
      <c r="C12" s="10">
        <v>1</v>
      </c>
      <c r="D12" s="11">
        <v>0.82592864155492307</v>
      </c>
      <c r="E12" s="11">
        <v>0.83729976263561456</v>
      </c>
      <c r="F12" s="12">
        <v>0</v>
      </c>
      <c r="G12" s="12">
        <v>0</v>
      </c>
      <c r="H12" s="12">
        <v>0</v>
      </c>
      <c r="I12" s="12">
        <v>0</v>
      </c>
      <c r="J12" s="9">
        <v>0</v>
      </c>
      <c r="K12" s="9">
        <v>0</v>
      </c>
      <c r="L12" s="13">
        <v>0</v>
      </c>
      <c r="M12" s="13">
        <v>2.8081698087414717E-6</v>
      </c>
      <c r="N12" s="14">
        <v>0</v>
      </c>
      <c r="O12" s="14">
        <v>0</v>
      </c>
      <c r="P12" s="14">
        <v>0</v>
      </c>
      <c r="Q12" s="14">
        <v>0</v>
      </c>
      <c r="R12" s="9">
        <v>0</v>
      </c>
      <c r="S12" s="9">
        <v>0</v>
      </c>
    </row>
    <row r="13" spans="1:19" x14ac:dyDescent="0.2">
      <c r="A13" s="15">
        <v>606</v>
      </c>
      <c r="B13" s="15">
        <v>1</v>
      </c>
      <c r="C13" s="15">
        <v>1</v>
      </c>
      <c r="D13" s="16">
        <v>0.49597971839387578</v>
      </c>
      <c r="E13" s="16">
        <v>0.27731865236680875</v>
      </c>
      <c r="F13" s="17">
        <v>0.1983421775386183</v>
      </c>
      <c r="G13" s="17">
        <v>2.0381025762113664E-2</v>
      </c>
      <c r="H13" s="17">
        <v>0.17702909267152994</v>
      </c>
      <c r="I13" s="17">
        <v>-8.8856301340922376E-3</v>
      </c>
      <c r="J13" s="9">
        <v>0</v>
      </c>
      <c r="K13" s="9">
        <v>0</v>
      </c>
      <c r="L13" s="18">
        <v>0</v>
      </c>
      <c r="M13" s="18">
        <v>6.0204618042178784E-5</v>
      </c>
      <c r="N13" s="19">
        <v>0</v>
      </c>
      <c r="O13" s="19">
        <v>0</v>
      </c>
      <c r="P13" s="19">
        <v>0</v>
      </c>
      <c r="Q13" s="19">
        <v>0</v>
      </c>
      <c r="R13" s="9">
        <v>0</v>
      </c>
      <c r="S13" s="9">
        <v>0</v>
      </c>
    </row>
    <row r="14" spans="1:19" x14ac:dyDescent="0.2">
      <c r="A14" s="15">
        <v>606</v>
      </c>
      <c r="B14" s="15">
        <v>2</v>
      </c>
      <c r="C14" s="15">
        <v>1</v>
      </c>
      <c r="D14" s="17">
        <v>0.1983421775386183</v>
      </c>
      <c r="E14" s="17">
        <v>2.0381025762113664E-2</v>
      </c>
      <c r="F14" s="16">
        <v>0.49032522649036253</v>
      </c>
      <c r="G14" s="16">
        <v>0.25109672288018692</v>
      </c>
      <c r="H14" s="17">
        <v>0.1983421775386183</v>
      </c>
      <c r="I14" s="17">
        <v>2.0381025762113664E-2</v>
      </c>
      <c r="J14" s="9">
        <v>0</v>
      </c>
      <c r="K14" s="9">
        <v>0</v>
      </c>
      <c r="L14" s="19">
        <v>0</v>
      </c>
      <c r="M14" s="19">
        <v>0</v>
      </c>
      <c r="N14" s="18">
        <v>0</v>
      </c>
      <c r="O14" s="18">
        <v>6.0204618042178784E-5</v>
      </c>
      <c r="P14" s="19">
        <v>0</v>
      </c>
      <c r="Q14" s="19">
        <v>0</v>
      </c>
      <c r="R14" s="9">
        <v>0</v>
      </c>
      <c r="S14" s="9">
        <v>0</v>
      </c>
    </row>
    <row r="15" spans="1:19" x14ac:dyDescent="0.2">
      <c r="A15" s="15">
        <v>606</v>
      </c>
      <c r="B15" s="15">
        <v>3</v>
      </c>
      <c r="C15" s="15">
        <v>1</v>
      </c>
      <c r="D15" s="17">
        <v>0.17702909267152994</v>
      </c>
      <c r="E15" s="17">
        <v>-8.8856301340922376E-3</v>
      </c>
      <c r="F15" s="17">
        <v>0.1983421775386183</v>
      </c>
      <c r="G15" s="17">
        <v>2.0381025762113664E-2</v>
      </c>
      <c r="H15" s="16">
        <v>0.49597971839387578</v>
      </c>
      <c r="I15" s="16">
        <v>0.27731865236680875</v>
      </c>
      <c r="J15" s="9">
        <v>0</v>
      </c>
      <c r="K15" s="9">
        <v>0</v>
      </c>
      <c r="L15" s="19">
        <v>0</v>
      </c>
      <c r="M15" s="19">
        <v>0</v>
      </c>
      <c r="N15" s="19">
        <v>0</v>
      </c>
      <c r="O15" s="19">
        <v>0</v>
      </c>
      <c r="P15" s="18">
        <v>0</v>
      </c>
      <c r="Q15" s="18">
        <v>6.0204618042178784E-5</v>
      </c>
      <c r="R15" s="9">
        <v>0</v>
      </c>
      <c r="S15" s="9">
        <v>0</v>
      </c>
    </row>
    <row r="16" spans="1:19" x14ac:dyDescent="0.2">
      <c r="A16" s="10">
        <v>607</v>
      </c>
      <c r="B16" s="10">
        <v>1</v>
      </c>
      <c r="C16" s="10">
        <v>1</v>
      </c>
      <c r="D16" s="11">
        <v>0.83419289895236559</v>
      </c>
      <c r="E16" s="11">
        <v>0.31839139025936097</v>
      </c>
      <c r="F16" s="12">
        <v>0</v>
      </c>
      <c r="G16" s="12">
        <v>0</v>
      </c>
      <c r="H16" s="12">
        <v>0</v>
      </c>
      <c r="I16" s="12">
        <v>0</v>
      </c>
      <c r="J16" s="9">
        <v>0</v>
      </c>
      <c r="K16" s="9">
        <v>0</v>
      </c>
      <c r="L16" s="13">
        <v>0</v>
      </c>
      <c r="M16" s="13">
        <v>5.5296705481750282E-5</v>
      </c>
      <c r="N16" s="14">
        <v>0</v>
      </c>
      <c r="O16" s="14">
        <v>0</v>
      </c>
      <c r="P16" s="14">
        <v>0</v>
      </c>
      <c r="Q16" s="14">
        <v>0</v>
      </c>
      <c r="R16" s="9">
        <v>0</v>
      </c>
      <c r="S16" s="9">
        <v>0</v>
      </c>
    </row>
    <row r="17" spans="1:19" x14ac:dyDescent="0.2">
      <c r="A17" s="10">
        <v>608</v>
      </c>
      <c r="B17" s="10">
        <v>1</v>
      </c>
      <c r="C17" s="10">
        <v>1</v>
      </c>
      <c r="D17" s="11">
        <v>0.21530565324915801</v>
      </c>
      <c r="E17" s="11">
        <v>0.63249530863583836</v>
      </c>
      <c r="F17" s="12">
        <v>9.6934146917369859E-2</v>
      </c>
      <c r="G17" s="12">
        <v>0.31174270197720805</v>
      </c>
      <c r="H17" s="12">
        <v>9.8176892390669471E-2</v>
      </c>
      <c r="I17" s="12">
        <v>0.2632134912448581</v>
      </c>
      <c r="J17" s="12">
        <v>9.8176892390669471E-2</v>
      </c>
      <c r="K17" s="12">
        <v>0.2632134912448581</v>
      </c>
      <c r="L17" s="13">
        <v>0</v>
      </c>
      <c r="M17" s="13">
        <v>3.9145239663464529E-6</v>
      </c>
      <c r="N17" s="14">
        <v>0</v>
      </c>
      <c r="O17" s="14">
        <v>-1.2401357078056842E-6</v>
      </c>
      <c r="P17" s="14">
        <v>0</v>
      </c>
      <c r="Q17" s="14">
        <v>-7.8261896181043159E-7</v>
      </c>
      <c r="R17" s="14">
        <v>0</v>
      </c>
      <c r="S17" s="14">
        <v>-7.8261896181043159E-7</v>
      </c>
    </row>
    <row r="18" spans="1:19" x14ac:dyDescent="0.2">
      <c r="A18" s="10">
        <v>608</v>
      </c>
      <c r="B18" s="10">
        <v>2</v>
      </c>
      <c r="C18" s="10">
        <v>1</v>
      </c>
      <c r="D18" s="12">
        <v>9.6934146917369859E-2</v>
      </c>
      <c r="E18" s="12">
        <v>0.31174270197720805</v>
      </c>
      <c r="F18" s="11">
        <v>0.20971329861930979</v>
      </c>
      <c r="G18" s="11">
        <v>0.65107435346166753</v>
      </c>
      <c r="H18" s="12">
        <v>9.5380715075745331E-2</v>
      </c>
      <c r="I18" s="12">
        <v>0.23916636633651064</v>
      </c>
      <c r="J18" s="12">
        <v>9.8176892390669471E-2</v>
      </c>
      <c r="K18" s="12">
        <v>0.2632134912448581</v>
      </c>
      <c r="L18" s="14">
        <v>0</v>
      </c>
      <c r="M18" s="14">
        <v>-1.2401357078056842E-6</v>
      </c>
      <c r="N18" s="13">
        <v>0</v>
      </c>
      <c r="O18" s="13">
        <v>3.7031950986118532E-6</v>
      </c>
      <c r="P18" s="14">
        <v>0</v>
      </c>
      <c r="Q18" s="14">
        <v>-4.6087215877316163E-7</v>
      </c>
      <c r="R18" s="14">
        <v>0</v>
      </c>
      <c r="S18" s="14">
        <v>-4.6087215877316163E-7</v>
      </c>
    </row>
    <row r="19" spans="1:19" x14ac:dyDescent="0.2">
      <c r="A19" s="10">
        <v>608</v>
      </c>
      <c r="B19" s="10">
        <v>3</v>
      </c>
      <c r="C19" s="10">
        <v>1</v>
      </c>
      <c r="D19" s="12">
        <v>9.8176892390669471E-2</v>
      </c>
      <c r="E19" s="12">
        <v>0.2632134912448581</v>
      </c>
      <c r="F19" s="12">
        <v>9.5380715075745331E-2</v>
      </c>
      <c r="G19" s="12">
        <v>0.23916636633651064</v>
      </c>
      <c r="H19" s="11">
        <v>0.21213665229224402</v>
      </c>
      <c r="I19" s="11">
        <v>0.64299650788522</v>
      </c>
      <c r="J19" s="12">
        <v>9.8176892390669471E-2</v>
      </c>
      <c r="K19" s="12">
        <v>0.2632134912448581</v>
      </c>
      <c r="L19" s="14">
        <v>0</v>
      </c>
      <c r="M19" s="14">
        <v>-7.8261896181043159E-7</v>
      </c>
      <c r="N19" s="14">
        <v>0</v>
      </c>
      <c r="O19" s="14">
        <v>-4.6087215877316163E-7</v>
      </c>
      <c r="P19" s="13">
        <v>0</v>
      </c>
      <c r="Q19" s="13">
        <v>3.5036723128736005E-6</v>
      </c>
      <c r="R19" s="14">
        <v>0</v>
      </c>
      <c r="S19" s="14">
        <v>-4.6087215877316163E-7</v>
      </c>
    </row>
    <row r="20" spans="1:19" x14ac:dyDescent="0.2">
      <c r="A20" s="10">
        <v>608</v>
      </c>
      <c r="B20" s="10">
        <v>4</v>
      </c>
      <c r="C20" s="10">
        <v>1</v>
      </c>
      <c r="D20" s="12">
        <v>9.8176892390669471E-2</v>
      </c>
      <c r="E20" s="12">
        <v>0.2632134912448581</v>
      </c>
      <c r="F20" s="12">
        <v>9.5380715075745331E-2</v>
      </c>
      <c r="G20" s="12">
        <v>0.23916636633651064</v>
      </c>
      <c r="H20" s="12">
        <v>9.8176892390669471E-2</v>
      </c>
      <c r="I20" s="12">
        <v>0.2632134912448581</v>
      </c>
      <c r="J20" s="11">
        <v>0.21213665229224402</v>
      </c>
      <c r="K20" s="11">
        <v>0.64299650788522</v>
      </c>
      <c r="L20" s="14">
        <v>0</v>
      </c>
      <c r="M20" s="14">
        <v>-7.8261896181043159E-7</v>
      </c>
      <c r="N20" s="14">
        <v>0</v>
      </c>
      <c r="O20" s="14">
        <v>-4.6087215877316163E-7</v>
      </c>
      <c r="P20" s="14">
        <v>0</v>
      </c>
      <c r="Q20" s="14">
        <v>-7.8261896181043159E-7</v>
      </c>
      <c r="R20" s="13">
        <v>0</v>
      </c>
      <c r="S20" s="13">
        <v>3.5036723128736005E-6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903E1-A983-4839-84A0-EF5E14F30579}">
  <dimension ref="A1:H12"/>
  <sheetViews>
    <sheetView zoomScaleNormal="100" workbookViewId="0">
      <selection activeCell="D21" sqref="D21"/>
    </sheetView>
  </sheetViews>
  <sheetFormatPr baseColWidth="10" defaultColWidth="8.83203125" defaultRowHeight="15" x14ac:dyDescent="0.2"/>
  <cols>
    <col min="1" max="1" width="5.5" bestFit="1" customWidth="1"/>
    <col min="2" max="2" width="13.5" bestFit="1" customWidth="1"/>
    <col min="3" max="3" width="13.83203125" bestFit="1" customWidth="1"/>
    <col min="4" max="4" width="14.5" bestFit="1" customWidth="1"/>
    <col min="5" max="5" width="14.83203125" bestFit="1" customWidth="1"/>
    <col min="6" max="6" width="11.6640625" bestFit="1" customWidth="1"/>
    <col min="7" max="7" width="12.6640625" bestFit="1" customWidth="1"/>
    <col min="8" max="8" width="8.83203125" bestFit="1" customWidth="1"/>
    <col min="13" max="13" width="8.83203125" customWidth="1"/>
    <col min="15" max="15" width="8.83203125" customWidth="1"/>
    <col min="17" max="17" width="8.83203125" customWidth="1"/>
    <col min="21" max="34" width="8.83203125" customWidth="1"/>
  </cols>
  <sheetData>
    <row r="1" spans="1:8" x14ac:dyDescent="0.2">
      <c r="A1" s="9" t="s">
        <v>23</v>
      </c>
      <c r="B1" s="9" t="s">
        <v>24</v>
      </c>
      <c r="C1" s="9" t="s">
        <v>25</v>
      </c>
      <c r="D1" s="9" t="s">
        <v>26</v>
      </c>
      <c r="E1" s="9" t="s">
        <v>27</v>
      </c>
      <c r="F1" s="9" t="s">
        <v>28</v>
      </c>
      <c r="G1" s="9" t="s">
        <v>29</v>
      </c>
      <c r="H1" s="9" t="s">
        <v>30</v>
      </c>
    </row>
    <row r="2" spans="1:8" x14ac:dyDescent="0.2">
      <c r="A2" s="9">
        <v>101</v>
      </c>
      <c r="B2" s="9">
        <v>3.06</v>
      </c>
      <c r="C2" s="9">
        <v>0.10100000000000001</v>
      </c>
      <c r="D2" s="9">
        <v>12.24</v>
      </c>
      <c r="E2" s="9">
        <v>0.40400000000000003</v>
      </c>
      <c r="F2" s="9">
        <v>1</v>
      </c>
      <c r="G2" s="9">
        <v>1</v>
      </c>
      <c r="H2" s="9">
        <v>5.2000000000000005E-2</v>
      </c>
    </row>
    <row r="3" spans="1:8" x14ac:dyDescent="0.2">
      <c r="A3" s="9">
        <v>102</v>
      </c>
      <c r="B3" s="9">
        <v>1.117</v>
      </c>
      <c r="C3" s="9">
        <v>0.41</v>
      </c>
      <c r="D3" s="9">
        <v>4.468</v>
      </c>
      <c r="E3" s="9">
        <v>1.64</v>
      </c>
      <c r="F3" s="9">
        <v>1</v>
      </c>
      <c r="G3" s="9">
        <v>1</v>
      </c>
      <c r="H3" s="9">
        <v>0.105</v>
      </c>
    </row>
    <row r="4" spans="1:8" x14ac:dyDescent="0.2">
      <c r="A4" s="9">
        <v>103</v>
      </c>
      <c r="B4" s="9">
        <v>3.06</v>
      </c>
      <c r="C4" s="9">
        <v>9.5000000000000001E-2</v>
      </c>
      <c r="D4" s="9">
        <v>12.24</v>
      </c>
      <c r="E4" s="9">
        <v>0.38</v>
      </c>
      <c r="F4" s="9">
        <v>1</v>
      </c>
      <c r="G4" s="9">
        <v>1</v>
      </c>
      <c r="H4" s="9">
        <v>4.5999999999999999E-2</v>
      </c>
    </row>
    <row r="5" spans="1:8" x14ac:dyDescent="0.2">
      <c r="A5" s="9">
        <v>104</v>
      </c>
      <c r="B5" s="9">
        <v>1.1599999999999999</v>
      </c>
      <c r="C5" s="9">
        <v>8.2000000000000003E-2</v>
      </c>
      <c r="D5" s="9">
        <v>4.6399999999999997</v>
      </c>
      <c r="E5" s="9">
        <v>0.32800000000000001</v>
      </c>
      <c r="F5" s="9">
        <v>1</v>
      </c>
      <c r="G5" s="9">
        <v>1</v>
      </c>
      <c r="H5" s="9">
        <v>9.6000000000000002E-2</v>
      </c>
    </row>
    <row r="6" spans="1:8" x14ac:dyDescent="0.2">
      <c r="A6" s="9">
        <v>105</v>
      </c>
      <c r="B6" s="9">
        <v>1.1599999999999999</v>
      </c>
      <c r="C6" s="9">
        <v>8.2000000000000003E-2</v>
      </c>
      <c r="D6" s="9">
        <v>4.6399999999999997</v>
      </c>
      <c r="E6" s="9">
        <v>0.32800000000000001</v>
      </c>
      <c r="F6" s="9">
        <v>1</v>
      </c>
      <c r="G6" s="9">
        <v>1</v>
      </c>
      <c r="H6" s="9">
        <v>8.5000000000000006E-2</v>
      </c>
    </row>
    <row r="7" spans="1:8" x14ac:dyDescent="0.2">
      <c r="A7" s="9">
        <v>106</v>
      </c>
      <c r="B7" s="9">
        <v>0.38700000000000001</v>
      </c>
      <c r="C7" s="9">
        <v>7.8E-2</v>
      </c>
      <c r="D7" s="9">
        <v>2.589</v>
      </c>
      <c r="E7" s="9">
        <v>0.32100000000000001</v>
      </c>
      <c r="F7" s="9">
        <v>1</v>
      </c>
      <c r="G7" s="9">
        <v>1</v>
      </c>
      <c r="H7" s="9">
        <v>0.18</v>
      </c>
    </row>
    <row r="8" spans="1:8" x14ac:dyDescent="0.2">
      <c r="A8" s="9">
        <v>107</v>
      </c>
      <c r="B8" s="9">
        <v>1.1599999999999999</v>
      </c>
      <c r="C8" s="9">
        <v>0.08</v>
      </c>
      <c r="D8" s="9">
        <v>4.6399999999999997</v>
      </c>
      <c r="E8" s="9">
        <v>0.32</v>
      </c>
      <c r="F8" s="9">
        <v>1</v>
      </c>
      <c r="G8" s="9">
        <v>1</v>
      </c>
      <c r="H8" s="9">
        <v>8.5000000000000006E-2</v>
      </c>
    </row>
    <row r="9" spans="1:8" x14ac:dyDescent="0.2">
      <c r="A9" s="9">
        <v>108</v>
      </c>
      <c r="B9" s="9">
        <v>1.1399999999999999</v>
      </c>
      <c r="C9" s="9">
        <v>0.112</v>
      </c>
      <c r="D9" s="9">
        <v>4.5599999999999996</v>
      </c>
      <c r="E9" s="9">
        <v>0.44800000000000001</v>
      </c>
      <c r="F9" s="9">
        <v>1</v>
      </c>
      <c r="G9" s="9">
        <v>1</v>
      </c>
      <c r="H9" s="9">
        <v>8.5000000000000006E-2</v>
      </c>
    </row>
    <row r="10" spans="1:8" x14ac:dyDescent="0.2">
      <c r="A10" s="9">
        <v>109</v>
      </c>
      <c r="B10" s="9">
        <v>1.1599999999999999</v>
      </c>
      <c r="C10" s="9">
        <v>0.08</v>
      </c>
      <c r="D10" s="9">
        <v>4.6399999999999997</v>
      </c>
      <c r="E10" s="9">
        <v>0.32</v>
      </c>
      <c r="F10" s="9">
        <v>1</v>
      </c>
      <c r="G10" s="9">
        <v>1</v>
      </c>
      <c r="H10" s="9">
        <v>8.5000000000000006E-2</v>
      </c>
    </row>
    <row r="11" spans="1:8" x14ac:dyDescent="0.2">
      <c r="A11" s="9">
        <v>110</v>
      </c>
      <c r="B11" s="9">
        <v>0.19500000000000001</v>
      </c>
      <c r="C11" s="9">
        <v>7.0000000000000007E-2</v>
      </c>
      <c r="D11" s="9">
        <v>1.3680000000000001</v>
      </c>
      <c r="E11" s="9">
        <v>0.28000000000000003</v>
      </c>
      <c r="F11" s="9">
        <v>1</v>
      </c>
      <c r="G11" s="9">
        <v>1</v>
      </c>
      <c r="H11" s="9">
        <v>0.25800000000000001</v>
      </c>
    </row>
    <row r="12" spans="1:8" x14ac:dyDescent="0.2">
      <c r="A12" s="9">
        <v>1000</v>
      </c>
      <c r="B12" s="9">
        <v>1E-4</v>
      </c>
      <c r="C12" s="9">
        <v>1E-4</v>
      </c>
      <c r="D12" s="9">
        <v>1000000</v>
      </c>
      <c r="E12" s="9">
        <v>1000000</v>
      </c>
      <c r="F12" s="9">
        <v>1</v>
      </c>
      <c r="G12" s="9">
        <v>1</v>
      </c>
      <c r="H12" s="9">
        <v>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2"/>
  <sheetViews>
    <sheetView zoomScaleNormal="100" workbookViewId="0">
      <selection activeCell="G1" sqref="G1:G1048576"/>
    </sheetView>
  </sheetViews>
  <sheetFormatPr baseColWidth="10" defaultColWidth="8.83203125" defaultRowHeight="15" x14ac:dyDescent="0.2"/>
  <cols>
    <col min="1" max="1" width="8.83203125" bestFit="1" customWidth="1"/>
    <col min="2" max="2" width="14.5" bestFit="1" customWidth="1"/>
    <col min="3" max="3" width="6.5" bestFit="1" customWidth="1"/>
    <col min="4" max="4" width="12.1640625" bestFit="1" customWidth="1"/>
    <col min="5" max="5" width="8" bestFit="1" customWidth="1"/>
    <col min="6" max="6" width="9.5" bestFit="1" customWidth="1"/>
  </cols>
  <sheetData>
    <row r="1" spans="1:6" x14ac:dyDescent="0.2">
      <c r="A1" s="9" t="s">
        <v>43</v>
      </c>
      <c r="B1" s="9" t="s">
        <v>199</v>
      </c>
      <c r="C1" s="9" t="s">
        <v>44</v>
      </c>
      <c r="D1" s="9" t="s">
        <v>200</v>
      </c>
      <c r="E1" s="9" t="s">
        <v>45</v>
      </c>
      <c r="F1" s="9" t="s">
        <v>46</v>
      </c>
    </row>
    <row r="2" spans="1:6" x14ac:dyDescent="0.2">
      <c r="A2">
        <v>2</v>
      </c>
      <c r="B2" s="9" t="s">
        <v>222</v>
      </c>
      <c r="C2">
        <v>3</v>
      </c>
      <c r="D2" s="9" t="s">
        <v>222</v>
      </c>
      <c r="E2">
        <v>1</v>
      </c>
      <c r="F2">
        <v>7.0000000000000007E-2</v>
      </c>
    </row>
    <row r="3" spans="1:6" x14ac:dyDescent="0.2">
      <c r="A3">
        <v>3</v>
      </c>
      <c r="B3" s="9" t="s">
        <v>222</v>
      </c>
      <c r="C3">
        <v>4</v>
      </c>
      <c r="D3" s="9" t="s">
        <v>222</v>
      </c>
      <c r="E3">
        <v>1</v>
      </c>
      <c r="F3">
        <v>3.5000000000000003E-2</v>
      </c>
    </row>
    <row r="4" spans="1:6" x14ac:dyDescent="0.2">
      <c r="A4">
        <v>4</v>
      </c>
      <c r="B4" s="9" t="s">
        <v>222</v>
      </c>
      <c r="C4">
        <v>5</v>
      </c>
      <c r="D4" s="9" t="s">
        <v>222</v>
      </c>
      <c r="E4">
        <v>1</v>
      </c>
      <c r="F4">
        <v>7.0000000000000007E-2</v>
      </c>
    </row>
    <row r="5" spans="1:6" x14ac:dyDescent="0.2">
      <c r="A5">
        <v>5</v>
      </c>
      <c r="B5" s="9" t="s">
        <v>222</v>
      </c>
      <c r="C5">
        <v>6</v>
      </c>
      <c r="D5" s="9" t="s">
        <v>222</v>
      </c>
      <c r="E5">
        <v>1</v>
      </c>
      <c r="F5">
        <v>0.105</v>
      </c>
    </row>
    <row r="6" spans="1:6" x14ac:dyDescent="0.2">
      <c r="A6">
        <v>6</v>
      </c>
      <c r="B6" s="9" t="s">
        <v>222</v>
      </c>
      <c r="C6">
        <v>7</v>
      </c>
      <c r="D6" s="9" t="s">
        <v>222</v>
      </c>
      <c r="E6">
        <v>1</v>
      </c>
      <c r="F6">
        <v>3.5000000000000003E-2</v>
      </c>
    </row>
    <row r="7" spans="1:6" x14ac:dyDescent="0.2">
      <c r="A7">
        <v>3</v>
      </c>
      <c r="B7" s="9" t="s">
        <v>222</v>
      </c>
      <c r="C7">
        <v>8</v>
      </c>
      <c r="D7" s="9" t="s">
        <v>222</v>
      </c>
      <c r="E7">
        <v>4</v>
      </c>
      <c r="F7">
        <v>0.03</v>
      </c>
    </row>
    <row r="8" spans="1:6" x14ac:dyDescent="0.2">
      <c r="A8">
        <v>4</v>
      </c>
      <c r="B8" s="9" t="s">
        <v>222</v>
      </c>
      <c r="C8">
        <v>9</v>
      </c>
      <c r="D8" s="9" t="s">
        <v>222</v>
      </c>
      <c r="E8">
        <v>2</v>
      </c>
      <c r="F8">
        <v>0.105</v>
      </c>
    </row>
    <row r="9" spans="1:6" x14ac:dyDescent="0.2">
      <c r="A9">
        <v>9</v>
      </c>
      <c r="B9" s="9" t="s">
        <v>222</v>
      </c>
      <c r="C9">
        <v>10</v>
      </c>
      <c r="D9" s="9" t="s">
        <v>222</v>
      </c>
      <c r="E9">
        <v>3</v>
      </c>
      <c r="F9">
        <v>0.03</v>
      </c>
    </row>
    <row r="10" spans="1:6" x14ac:dyDescent="0.2">
      <c r="A10">
        <v>5</v>
      </c>
      <c r="B10" s="9" t="s">
        <v>222</v>
      </c>
      <c r="C10">
        <v>11</v>
      </c>
      <c r="D10" s="9" t="s">
        <v>222</v>
      </c>
      <c r="E10">
        <v>6</v>
      </c>
      <c r="F10">
        <v>0.03</v>
      </c>
    </row>
    <row r="11" spans="1:6" x14ac:dyDescent="0.2">
      <c r="A11">
        <v>6</v>
      </c>
      <c r="B11" s="9" t="s">
        <v>222</v>
      </c>
      <c r="C11">
        <v>12</v>
      </c>
      <c r="D11" s="9" t="s">
        <v>222</v>
      </c>
      <c r="E11">
        <v>4</v>
      </c>
      <c r="F11">
        <v>0.03</v>
      </c>
    </row>
    <row r="12" spans="1:6" x14ac:dyDescent="0.2">
      <c r="A12">
        <v>7</v>
      </c>
      <c r="B12" s="9" t="s">
        <v>222</v>
      </c>
      <c r="C12">
        <v>13</v>
      </c>
      <c r="D12" s="9" t="s">
        <v>222</v>
      </c>
      <c r="E12">
        <v>5</v>
      </c>
      <c r="F12">
        <v>0.03</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1"/>
  <sheetViews>
    <sheetView topLeftCell="C1" zoomScaleNormal="100" workbookViewId="0">
      <selection activeCell="H2" sqref="A2:XFD2"/>
    </sheetView>
  </sheetViews>
  <sheetFormatPr baseColWidth="10" defaultColWidth="8.83203125" defaultRowHeight="15" x14ac:dyDescent="0.2"/>
  <cols>
    <col min="7" max="7" width="10.83203125" bestFit="1" customWidth="1"/>
    <col min="9" max="9" width="9.83203125" bestFit="1" customWidth="1"/>
  </cols>
  <sheetData>
    <row r="1" spans="1:22" x14ac:dyDescent="0.2">
      <c r="A1" s="9" t="s">
        <v>47</v>
      </c>
      <c r="B1" s="9" t="s">
        <v>48</v>
      </c>
      <c r="C1" s="9" t="s">
        <v>63</v>
      </c>
      <c r="D1" s="9" t="s">
        <v>64</v>
      </c>
      <c r="E1" s="9" t="s">
        <v>65</v>
      </c>
      <c r="F1" s="9" t="s">
        <v>49</v>
      </c>
      <c r="G1" s="9" t="s">
        <v>50</v>
      </c>
      <c r="H1" s="9" t="s">
        <v>51</v>
      </c>
      <c r="I1" s="9" t="s">
        <v>52</v>
      </c>
      <c r="J1" s="9" t="s">
        <v>2</v>
      </c>
      <c r="K1" s="9" t="s">
        <v>3</v>
      </c>
      <c r="L1" s="9" t="s">
        <v>4</v>
      </c>
      <c r="M1" s="9" t="s">
        <v>53</v>
      </c>
      <c r="N1" s="9" t="s">
        <v>54</v>
      </c>
      <c r="O1" s="9" t="s">
        <v>55</v>
      </c>
      <c r="P1" s="9" t="s">
        <v>56</v>
      </c>
      <c r="Q1" s="9" t="s">
        <v>57</v>
      </c>
      <c r="R1" s="9" t="s">
        <v>58</v>
      </c>
      <c r="S1" s="9" t="s">
        <v>59</v>
      </c>
      <c r="T1" s="9" t="s">
        <v>60</v>
      </c>
      <c r="U1" s="9" t="s">
        <v>61</v>
      </c>
      <c r="V1" s="9" t="s">
        <v>62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E3C06-CBE4-479B-9F22-321E3EC34E4C}">
  <dimension ref="A1:U7"/>
  <sheetViews>
    <sheetView zoomScaleNormal="100" workbookViewId="0">
      <selection activeCell="K2" sqref="K2"/>
    </sheetView>
  </sheetViews>
  <sheetFormatPr baseColWidth="10" defaultColWidth="8.83203125" defaultRowHeight="15" x14ac:dyDescent="0.2"/>
  <cols>
    <col min="1" max="1" width="4.5" bestFit="1" customWidth="1"/>
    <col min="2" max="2" width="6.1640625" bestFit="1" customWidth="1"/>
    <col min="3" max="3" width="6.33203125" bestFit="1" customWidth="1"/>
    <col min="4" max="4" width="8.5" bestFit="1" customWidth="1"/>
    <col min="5" max="5" width="6.1640625" bestFit="1" customWidth="1"/>
    <col min="6" max="6" width="6.83203125" customWidth="1"/>
    <col min="7" max="7" width="7.6640625" bestFit="1" customWidth="1"/>
    <col min="8" max="8" width="10.83203125" bestFit="1" customWidth="1"/>
    <col min="9" max="9" width="11.5" bestFit="1" customWidth="1"/>
    <col min="10" max="10" width="7.5" bestFit="1" customWidth="1"/>
    <col min="11" max="11" width="10.5" bestFit="1" customWidth="1"/>
    <col min="12" max="12" width="16.6640625" bestFit="1" customWidth="1"/>
    <col min="13" max="13" width="8" bestFit="1" customWidth="1"/>
    <col min="14" max="14" width="8.5" bestFit="1" customWidth="1"/>
    <col min="15" max="15" width="8.33203125" bestFit="1" customWidth="1"/>
    <col min="16" max="16" width="7.33203125" bestFit="1" customWidth="1"/>
    <col min="17" max="17" width="11.1640625" bestFit="1" customWidth="1"/>
    <col min="18" max="18" width="8.5" bestFit="1" customWidth="1"/>
    <col min="19" max="19" width="6.6640625" bestFit="1" customWidth="1"/>
    <col min="20" max="20" width="7" bestFit="1" customWidth="1"/>
    <col min="21" max="21" width="7.83203125" bestFit="1" customWidth="1"/>
  </cols>
  <sheetData>
    <row r="1" spans="1:21" x14ac:dyDescent="0.2">
      <c r="A1" t="s">
        <v>66</v>
      </c>
      <c r="B1" t="s">
        <v>67</v>
      </c>
      <c r="C1" t="s">
        <v>31</v>
      </c>
      <c r="D1" s="9" t="s">
        <v>68</v>
      </c>
      <c r="E1" s="9" t="s">
        <v>69</v>
      </c>
      <c r="F1" s="9" t="s">
        <v>32</v>
      </c>
      <c r="G1" s="9" t="s">
        <v>65</v>
      </c>
      <c r="H1" s="9" t="s">
        <v>49</v>
      </c>
      <c r="I1" s="9" t="s">
        <v>50</v>
      </c>
      <c r="J1" s="9" t="s">
        <v>51</v>
      </c>
      <c r="K1" s="9" t="s">
        <v>52</v>
      </c>
      <c r="L1" s="9" t="s">
        <v>53</v>
      </c>
      <c r="M1" s="9" t="s">
        <v>54</v>
      </c>
      <c r="N1" s="9" t="s">
        <v>55</v>
      </c>
      <c r="O1" s="9" t="s">
        <v>56</v>
      </c>
      <c r="P1" s="9" t="s">
        <v>57</v>
      </c>
      <c r="Q1" s="9" t="s">
        <v>58</v>
      </c>
      <c r="R1" s="9" t="s">
        <v>59</v>
      </c>
      <c r="S1" s="9" t="s">
        <v>60</v>
      </c>
      <c r="T1" s="9" t="s">
        <v>61</v>
      </c>
      <c r="U1" s="9" t="s">
        <v>62</v>
      </c>
    </row>
    <row r="2" spans="1:21" x14ac:dyDescent="0.2">
      <c r="A2">
        <v>1</v>
      </c>
      <c r="B2">
        <v>1</v>
      </c>
      <c r="C2">
        <v>1</v>
      </c>
      <c r="D2">
        <v>1</v>
      </c>
      <c r="E2">
        <v>3</v>
      </c>
      <c r="F2">
        <v>20</v>
      </c>
      <c r="G2">
        <v>6.6669999999999993E-2</v>
      </c>
      <c r="H2">
        <v>4</v>
      </c>
      <c r="I2">
        <v>1</v>
      </c>
      <c r="J2">
        <v>6.6669999999999993E-2</v>
      </c>
      <c r="K2">
        <v>0.2</v>
      </c>
      <c r="L2">
        <v>0</v>
      </c>
      <c r="M2">
        <v>0</v>
      </c>
      <c r="N2">
        <v>0</v>
      </c>
      <c r="O2">
        <v>0</v>
      </c>
      <c r="P2">
        <v>0</v>
      </c>
      <c r="Q2">
        <v>1.5</v>
      </c>
      <c r="R2">
        <v>2</v>
      </c>
      <c r="S2">
        <v>0</v>
      </c>
      <c r="T2">
        <v>0</v>
      </c>
      <c r="U2">
        <v>1</v>
      </c>
    </row>
    <row r="3" spans="1:21" x14ac:dyDescent="0.2">
      <c r="A3">
        <v>1</v>
      </c>
      <c r="B3">
        <v>2</v>
      </c>
      <c r="C3">
        <v>1</v>
      </c>
      <c r="D3">
        <v>2</v>
      </c>
      <c r="E3">
        <v>1</v>
      </c>
      <c r="F3">
        <v>20</v>
      </c>
      <c r="G3">
        <v>6.6669999999999993E-2</v>
      </c>
      <c r="H3">
        <v>4</v>
      </c>
      <c r="I3">
        <v>1</v>
      </c>
      <c r="J3">
        <v>6.6669999999999993E-2</v>
      </c>
      <c r="K3">
        <v>0.2</v>
      </c>
      <c r="L3">
        <v>0</v>
      </c>
      <c r="M3">
        <v>0</v>
      </c>
      <c r="N3">
        <v>0</v>
      </c>
      <c r="O3">
        <v>0</v>
      </c>
      <c r="P3">
        <v>0</v>
      </c>
      <c r="Q3">
        <v>1.5</v>
      </c>
      <c r="R3">
        <v>2</v>
      </c>
      <c r="S3">
        <v>0</v>
      </c>
      <c r="T3">
        <v>0</v>
      </c>
      <c r="U3">
        <v>1</v>
      </c>
    </row>
    <row r="4" spans="1:21" x14ac:dyDescent="0.2">
      <c r="A4">
        <v>1</v>
      </c>
      <c r="B4">
        <v>3</v>
      </c>
      <c r="C4">
        <v>1</v>
      </c>
      <c r="D4">
        <v>3</v>
      </c>
      <c r="E4">
        <v>2</v>
      </c>
      <c r="F4">
        <v>20</v>
      </c>
      <c r="G4">
        <v>6.6669999999999993E-2</v>
      </c>
      <c r="H4">
        <v>4</v>
      </c>
      <c r="I4">
        <v>1</v>
      </c>
      <c r="J4">
        <v>6.6669999999999993E-2</v>
      </c>
      <c r="K4">
        <v>0.2</v>
      </c>
      <c r="L4">
        <v>0</v>
      </c>
      <c r="M4">
        <v>0</v>
      </c>
      <c r="N4">
        <v>0</v>
      </c>
      <c r="O4">
        <v>0</v>
      </c>
      <c r="P4">
        <v>0</v>
      </c>
      <c r="Q4">
        <v>1.5</v>
      </c>
      <c r="R4">
        <v>2</v>
      </c>
      <c r="S4">
        <v>0</v>
      </c>
      <c r="T4">
        <v>0</v>
      </c>
      <c r="U4">
        <v>1</v>
      </c>
    </row>
    <row r="5" spans="1:21" x14ac:dyDescent="0.2">
      <c r="A5">
        <v>1</v>
      </c>
      <c r="B5">
        <v>1</v>
      </c>
      <c r="C5">
        <v>2</v>
      </c>
      <c r="D5">
        <v>1</v>
      </c>
      <c r="E5">
        <v>0</v>
      </c>
      <c r="F5">
        <f>0.4/SQRT(3)</f>
        <v>0.23094010767585033</v>
      </c>
      <c r="G5">
        <v>6.6669999999999993E-2</v>
      </c>
      <c r="H5">
        <v>4</v>
      </c>
      <c r="I5">
        <v>1</v>
      </c>
      <c r="J5">
        <v>6.6669999999999993E-2</v>
      </c>
      <c r="K5">
        <v>0.2</v>
      </c>
      <c r="L5">
        <v>0</v>
      </c>
      <c r="M5">
        <v>0</v>
      </c>
      <c r="N5">
        <v>0</v>
      </c>
      <c r="O5">
        <v>0</v>
      </c>
      <c r="P5">
        <v>0</v>
      </c>
      <c r="Q5">
        <v>1.5</v>
      </c>
      <c r="R5">
        <v>2</v>
      </c>
      <c r="S5">
        <v>0</v>
      </c>
      <c r="T5">
        <v>0</v>
      </c>
      <c r="U5">
        <v>1</v>
      </c>
    </row>
    <row r="6" spans="1:21" x14ac:dyDescent="0.2">
      <c r="A6">
        <v>1</v>
      </c>
      <c r="B6">
        <v>2</v>
      </c>
      <c r="C6">
        <v>2</v>
      </c>
      <c r="D6">
        <v>2</v>
      </c>
      <c r="E6">
        <v>0</v>
      </c>
      <c r="F6">
        <f t="shared" ref="F6:F7" si="0">0.4/SQRT(3)</f>
        <v>0.23094010767585033</v>
      </c>
      <c r="G6">
        <v>6.6669999999999993E-2</v>
      </c>
      <c r="H6">
        <v>4</v>
      </c>
      <c r="I6">
        <v>1</v>
      </c>
      <c r="J6">
        <v>6.6669999999999993E-2</v>
      </c>
      <c r="K6">
        <v>0.2</v>
      </c>
      <c r="L6">
        <v>0</v>
      </c>
      <c r="M6">
        <v>0</v>
      </c>
      <c r="N6">
        <v>0</v>
      </c>
      <c r="O6">
        <v>0</v>
      </c>
      <c r="P6">
        <v>0</v>
      </c>
      <c r="Q6">
        <v>1.5</v>
      </c>
      <c r="R6">
        <v>2</v>
      </c>
      <c r="S6">
        <v>0</v>
      </c>
      <c r="T6">
        <v>0</v>
      </c>
      <c r="U6">
        <v>1</v>
      </c>
    </row>
    <row r="7" spans="1:21" x14ac:dyDescent="0.2">
      <c r="A7">
        <v>1</v>
      </c>
      <c r="B7">
        <v>3</v>
      </c>
      <c r="C7">
        <v>2</v>
      </c>
      <c r="D7">
        <v>3</v>
      </c>
      <c r="E7">
        <v>0</v>
      </c>
      <c r="F7">
        <f t="shared" si="0"/>
        <v>0.23094010767585033</v>
      </c>
      <c r="G7">
        <v>6.6669999999999993E-2</v>
      </c>
      <c r="H7">
        <v>4</v>
      </c>
      <c r="I7">
        <v>1</v>
      </c>
      <c r="J7">
        <v>6.6669999999999993E-2</v>
      </c>
      <c r="K7">
        <v>0.2</v>
      </c>
      <c r="L7">
        <v>0</v>
      </c>
      <c r="M7">
        <v>0</v>
      </c>
      <c r="N7">
        <v>0</v>
      </c>
      <c r="O7">
        <v>0</v>
      </c>
      <c r="P7">
        <v>0</v>
      </c>
      <c r="Q7">
        <v>1.5</v>
      </c>
      <c r="R7">
        <v>2</v>
      </c>
      <c r="S7">
        <v>0</v>
      </c>
      <c r="T7">
        <v>0</v>
      </c>
      <c r="U7">
        <v>1</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6"/>
  <sheetViews>
    <sheetView zoomScaleNormal="100" workbookViewId="0">
      <selection activeCell="L2" sqref="L2:L16"/>
    </sheetView>
  </sheetViews>
  <sheetFormatPr baseColWidth="10" defaultColWidth="8.83203125" defaultRowHeight="15" x14ac:dyDescent="0.2"/>
  <sheetData>
    <row r="1" spans="1:12" x14ac:dyDescent="0.2">
      <c r="A1" s="9" t="s">
        <v>70</v>
      </c>
      <c r="B1" s="9" t="s">
        <v>68</v>
      </c>
      <c r="C1" s="9" t="s">
        <v>69</v>
      </c>
      <c r="D1" s="9" t="s">
        <v>162</v>
      </c>
      <c r="E1" s="9" t="s">
        <v>161</v>
      </c>
      <c r="F1" s="9" t="s">
        <v>72</v>
      </c>
      <c r="G1" s="9" t="s">
        <v>73</v>
      </c>
      <c r="H1" s="9" t="s">
        <v>75</v>
      </c>
      <c r="I1" s="9" t="s">
        <v>74</v>
      </c>
      <c r="J1" s="9" t="s">
        <v>76</v>
      </c>
      <c r="K1" s="9" t="s">
        <v>77</v>
      </c>
      <c r="L1" s="9" t="s">
        <v>6</v>
      </c>
    </row>
    <row r="2" spans="1:12" x14ac:dyDescent="0.2">
      <c r="A2" s="28">
        <v>8</v>
      </c>
      <c r="B2" s="28">
        <v>1</v>
      </c>
      <c r="C2">
        <v>4</v>
      </c>
      <c r="D2">
        <v>8.0000000000000002E-3</v>
      </c>
      <c r="E2" s="28">
        <v>3.8745768387028201E-3</v>
      </c>
      <c r="F2">
        <v>0</v>
      </c>
      <c r="G2">
        <v>0</v>
      </c>
      <c r="H2">
        <v>1</v>
      </c>
      <c r="I2">
        <v>0</v>
      </c>
      <c r="J2">
        <v>0</v>
      </c>
      <c r="K2">
        <v>1</v>
      </c>
      <c r="L2" t="s">
        <v>224</v>
      </c>
    </row>
    <row r="3" spans="1:12" x14ac:dyDescent="0.2">
      <c r="A3" s="28">
        <v>8</v>
      </c>
      <c r="B3" s="28">
        <v>2</v>
      </c>
      <c r="C3">
        <v>4</v>
      </c>
      <c r="D3">
        <v>6.0000000000000001E-3</v>
      </c>
      <c r="E3" s="28">
        <v>2.9059326290271151E-3</v>
      </c>
      <c r="F3">
        <v>0</v>
      </c>
      <c r="G3">
        <v>0</v>
      </c>
      <c r="H3">
        <v>1</v>
      </c>
      <c r="I3">
        <v>0</v>
      </c>
      <c r="J3">
        <v>0</v>
      </c>
      <c r="K3">
        <v>1</v>
      </c>
      <c r="L3" t="s">
        <v>225</v>
      </c>
    </row>
    <row r="4" spans="1:12" x14ac:dyDescent="0.2">
      <c r="A4" s="28">
        <v>8</v>
      </c>
      <c r="B4" s="28">
        <v>3</v>
      </c>
      <c r="C4">
        <v>4</v>
      </c>
      <c r="D4">
        <v>3.4999999999999996E-3</v>
      </c>
      <c r="E4" s="28">
        <v>1.6951273669324838E-3</v>
      </c>
      <c r="F4">
        <v>0</v>
      </c>
      <c r="G4">
        <v>0</v>
      </c>
      <c r="H4">
        <v>1</v>
      </c>
      <c r="I4">
        <v>0</v>
      </c>
      <c r="J4">
        <v>0</v>
      </c>
      <c r="K4">
        <v>1</v>
      </c>
      <c r="L4" t="s">
        <v>226</v>
      </c>
    </row>
    <row r="5" spans="1:12" x14ac:dyDescent="0.2">
      <c r="A5" s="28">
        <v>10</v>
      </c>
      <c r="B5" s="28">
        <v>1</v>
      </c>
      <c r="C5">
        <v>4</v>
      </c>
      <c r="D5">
        <v>1.95E-2</v>
      </c>
      <c r="E5" s="28">
        <v>9.444281044338124E-3</v>
      </c>
      <c r="F5">
        <v>0</v>
      </c>
      <c r="G5">
        <v>0</v>
      </c>
      <c r="H5">
        <v>1</v>
      </c>
      <c r="I5">
        <v>0</v>
      </c>
      <c r="J5">
        <v>0</v>
      </c>
      <c r="K5">
        <v>1</v>
      </c>
      <c r="L5" t="s">
        <v>225</v>
      </c>
    </row>
    <row r="6" spans="1:12" x14ac:dyDescent="0.2">
      <c r="A6" s="28">
        <v>10</v>
      </c>
      <c r="B6" s="28">
        <v>2</v>
      </c>
      <c r="C6">
        <v>4</v>
      </c>
      <c r="D6">
        <v>2.0499999999999997E-2</v>
      </c>
      <c r="E6" s="28">
        <v>9.9286031491759765E-3</v>
      </c>
      <c r="F6">
        <v>0</v>
      </c>
      <c r="G6">
        <v>0</v>
      </c>
      <c r="H6">
        <v>1</v>
      </c>
      <c r="I6">
        <v>0</v>
      </c>
      <c r="J6">
        <v>0</v>
      </c>
      <c r="K6">
        <v>1</v>
      </c>
      <c r="L6" t="s">
        <v>225</v>
      </c>
    </row>
    <row r="7" spans="1:12" x14ac:dyDescent="0.2">
      <c r="A7" s="28">
        <v>10</v>
      </c>
      <c r="B7" s="28">
        <v>3</v>
      </c>
      <c r="C7">
        <v>4</v>
      </c>
      <c r="D7">
        <v>2.4E-2</v>
      </c>
      <c r="E7" s="28">
        <v>1.162373051610846E-2</v>
      </c>
      <c r="F7">
        <v>0</v>
      </c>
      <c r="G7">
        <v>0</v>
      </c>
      <c r="H7">
        <v>1</v>
      </c>
      <c r="I7">
        <v>0</v>
      </c>
      <c r="J7">
        <v>0</v>
      </c>
      <c r="K7">
        <v>1</v>
      </c>
      <c r="L7" t="s">
        <v>224</v>
      </c>
    </row>
    <row r="8" spans="1:12" x14ac:dyDescent="0.2">
      <c r="A8" s="28">
        <v>11</v>
      </c>
      <c r="B8" s="28">
        <v>1</v>
      </c>
      <c r="C8">
        <v>4</v>
      </c>
      <c r="D8">
        <v>1.2499999999999999E-2</v>
      </c>
      <c r="E8" s="28">
        <v>6.0540263104731564E-3</v>
      </c>
      <c r="F8">
        <v>0</v>
      </c>
      <c r="G8">
        <v>0</v>
      </c>
      <c r="H8">
        <v>1</v>
      </c>
      <c r="I8">
        <v>0</v>
      </c>
      <c r="J8">
        <v>0</v>
      </c>
      <c r="K8">
        <v>1</v>
      </c>
      <c r="L8" t="s">
        <v>226</v>
      </c>
    </row>
    <row r="9" spans="1:12" x14ac:dyDescent="0.2">
      <c r="A9" s="28">
        <v>11</v>
      </c>
      <c r="B9" s="28">
        <v>2</v>
      </c>
      <c r="C9">
        <v>4</v>
      </c>
      <c r="D9">
        <v>1.6500000000000001E-2</v>
      </c>
      <c r="E9" s="28">
        <v>7.9913147298245665E-3</v>
      </c>
      <c r="F9">
        <v>0</v>
      </c>
      <c r="G9">
        <v>0</v>
      </c>
      <c r="H9">
        <v>1</v>
      </c>
      <c r="I9">
        <v>0</v>
      </c>
      <c r="J9">
        <v>0</v>
      </c>
      <c r="K9">
        <v>1</v>
      </c>
      <c r="L9" t="s">
        <v>226</v>
      </c>
    </row>
    <row r="10" spans="1:12" x14ac:dyDescent="0.2">
      <c r="A10" s="28">
        <v>11</v>
      </c>
      <c r="B10" s="28">
        <v>3</v>
      </c>
      <c r="C10">
        <v>4</v>
      </c>
      <c r="D10">
        <v>1.3999999999999999E-2</v>
      </c>
      <c r="E10" s="28">
        <v>6.7805094677299352E-3</v>
      </c>
      <c r="F10">
        <v>0</v>
      </c>
      <c r="G10">
        <v>0</v>
      </c>
      <c r="H10">
        <v>1</v>
      </c>
      <c r="I10">
        <v>0</v>
      </c>
      <c r="J10">
        <v>0</v>
      </c>
      <c r="K10">
        <v>1</v>
      </c>
      <c r="L10" t="s">
        <v>224</v>
      </c>
    </row>
    <row r="11" spans="1:12" x14ac:dyDescent="0.2">
      <c r="A11" s="28">
        <v>12</v>
      </c>
      <c r="B11" s="28">
        <v>1</v>
      </c>
      <c r="C11">
        <v>4</v>
      </c>
      <c r="D11">
        <v>1.6E-2</v>
      </c>
      <c r="E11" s="28">
        <v>7.7491536774056402E-3</v>
      </c>
      <c r="F11">
        <v>0</v>
      </c>
      <c r="G11">
        <v>0</v>
      </c>
      <c r="H11">
        <v>1</v>
      </c>
      <c r="I11">
        <v>0</v>
      </c>
      <c r="J11">
        <v>0</v>
      </c>
      <c r="K11">
        <v>1</v>
      </c>
      <c r="L11" t="s">
        <v>225</v>
      </c>
    </row>
    <row r="12" spans="1:12" x14ac:dyDescent="0.2">
      <c r="A12" s="28">
        <v>12</v>
      </c>
      <c r="B12" s="28">
        <v>2</v>
      </c>
      <c r="C12">
        <v>4</v>
      </c>
      <c r="D12">
        <v>1.9E-2</v>
      </c>
      <c r="E12" s="28">
        <v>9.2021199919191977E-3</v>
      </c>
      <c r="F12">
        <v>0</v>
      </c>
      <c r="G12">
        <v>0</v>
      </c>
      <c r="H12">
        <v>1</v>
      </c>
      <c r="I12">
        <v>0</v>
      </c>
      <c r="J12">
        <v>0</v>
      </c>
      <c r="K12">
        <v>1</v>
      </c>
      <c r="L12" t="s">
        <v>224</v>
      </c>
    </row>
    <row r="13" spans="1:12" x14ac:dyDescent="0.2">
      <c r="A13" s="28">
        <v>12</v>
      </c>
      <c r="B13" s="28">
        <v>3</v>
      </c>
      <c r="C13">
        <v>4</v>
      </c>
      <c r="D13">
        <v>1.55E-2</v>
      </c>
      <c r="E13" s="28">
        <v>7.5069926249867139E-3</v>
      </c>
      <c r="F13">
        <v>0</v>
      </c>
      <c r="G13">
        <v>0</v>
      </c>
      <c r="H13">
        <v>1</v>
      </c>
      <c r="I13">
        <v>0</v>
      </c>
      <c r="J13">
        <v>0</v>
      </c>
      <c r="K13">
        <v>1</v>
      </c>
      <c r="L13" t="s">
        <v>224</v>
      </c>
    </row>
    <row r="14" spans="1:12" x14ac:dyDescent="0.2">
      <c r="A14" s="28">
        <v>13</v>
      </c>
      <c r="B14" s="28">
        <v>1</v>
      </c>
      <c r="C14">
        <v>4</v>
      </c>
      <c r="D14">
        <v>3.4999999999999996E-3</v>
      </c>
      <c r="E14" s="28">
        <v>1.6951273669324838E-3</v>
      </c>
      <c r="F14">
        <v>0</v>
      </c>
      <c r="G14">
        <v>0</v>
      </c>
      <c r="H14">
        <v>1</v>
      </c>
      <c r="I14">
        <v>0</v>
      </c>
      <c r="J14">
        <v>0</v>
      </c>
      <c r="K14">
        <v>1</v>
      </c>
      <c r="L14" t="s">
        <v>224</v>
      </c>
    </row>
    <row r="15" spans="1:12" x14ac:dyDescent="0.2">
      <c r="A15" s="28">
        <v>13</v>
      </c>
      <c r="B15" s="28">
        <v>2</v>
      </c>
      <c r="C15">
        <v>4</v>
      </c>
      <c r="D15">
        <v>6.0000000000000001E-3</v>
      </c>
      <c r="E15" s="28">
        <v>2.9059326290271151E-3</v>
      </c>
      <c r="F15">
        <v>0</v>
      </c>
      <c r="G15">
        <v>0</v>
      </c>
      <c r="H15">
        <v>1</v>
      </c>
      <c r="I15">
        <v>0</v>
      </c>
      <c r="J15">
        <v>0</v>
      </c>
      <c r="K15">
        <v>1</v>
      </c>
      <c r="L15" t="s">
        <v>226</v>
      </c>
    </row>
    <row r="16" spans="1:12" x14ac:dyDescent="0.2">
      <c r="A16" s="28">
        <v>13</v>
      </c>
      <c r="B16" s="28">
        <v>3</v>
      </c>
      <c r="C16">
        <v>4</v>
      </c>
      <c r="D16">
        <v>8.0000000000000002E-3</v>
      </c>
      <c r="E16" s="28">
        <v>3.8745768387028201E-3</v>
      </c>
      <c r="F16">
        <v>0</v>
      </c>
      <c r="G16">
        <v>0</v>
      </c>
      <c r="H16">
        <v>1</v>
      </c>
      <c r="I16">
        <v>0</v>
      </c>
      <c r="J16">
        <v>0</v>
      </c>
      <c r="K16">
        <v>1</v>
      </c>
      <c r="L16" t="s">
        <v>224</v>
      </c>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11"/>
  <sheetViews>
    <sheetView tabSelected="1" zoomScaleNormal="100" workbookViewId="0">
      <selection activeCell="D11" sqref="D11"/>
    </sheetView>
  </sheetViews>
  <sheetFormatPr baseColWidth="10" defaultColWidth="8.83203125" defaultRowHeight="15" x14ac:dyDescent="0.2"/>
  <sheetData>
    <row r="1" spans="1:14" s="9" customFormat="1" x14ac:dyDescent="0.2">
      <c r="A1" s="9" t="s">
        <v>70</v>
      </c>
      <c r="B1" s="9" t="s">
        <v>68</v>
      </c>
      <c r="C1" s="9" t="s">
        <v>69</v>
      </c>
      <c r="D1" s="9" t="s">
        <v>162</v>
      </c>
      <c r="E1" s="9" t="s">
        <v>161</v>
      </c>
      <c r="F1" s="9" t="s">
        <v>72</v>
      </c>
      <c r="G1" s="9" t="s">
        <v>73</v>
      </c>
      <c r="H1" s="9" t="s">
        <v>75</v>
      </c>
      <c r="I1" s="9" t="s">
        <v>74</v>
      </c>
      <c r="J1" s="9" t="s">
        <v>76</v>
      </c>
      <c r="K1" s="9" t="s">
        <v>77</v>
      </c>
      <c r="L1" s="9" t="s">
        <v>6</v>
      </c>
      <c r="M1" s="9" t="s">
        <v>220</v>
      </c>
      <c r="N1" s="9" t="s">
        <v>221</v>
      </c>
    </row>
    <row r="2" spans="1:14" x14ac:dyDescent="0.2">
      <c r="A2">
        <v>1</v>
      </c>
      <c r="B2">
        <v>1</v>
      </c>
      <c r="C2">
        <v>4</v>
      </c>
      <c r="D2">
        <v>100</v>
      </c>
      <c r="E2">
        <v>0</v>
      </c>
      <c r="F2">
        <v>1</v>
      </c>
      <c r="G2">
        <v>0</v>
      </c>
      <c r="H2">
        <v>0</v>
      </c>
      <c r="I2">
        <v>1</v>
      </c>
      <c r="J2">
        <v>0</v>
      </c>
      <c r="K2">
        <v>0</v>
      </c>
      <c r="L2" t="s">
        <v>78</v>
      </c>
      <c r="M2">
        <v>1</v>
      </c>
      <c r="N2">
        <v>1</v>
      </c>
    </row>
    <row r="3" spans="1:14" x14ac:dyDescent="0.2">
      <c r="A3">
        <v>1</v>
      </c>
      <c r="B3">
        <v>2</v>
      </c>
      <c r="C3">
        <v>4</v>
      </c>
      <c r="D3">
        <v>100</v>
      </c>
      <c r="E3">
        <v>0</v>
      </c>
      <c r="F3">
        <v>1</v>
      </c>
      <c r="G3">
        <v>0</v>
      </c>
      <c r="H3">
        <v>0</v>
      </c>
      <c r="I3">
        <v>1</v>
      </c>
      <c r="J3">
        <v>0</v>
      </c>
      <c r="K3">
        <v>0</v>
      </c>
      <c r="L3" t="s">
        <v>78</v>
      </c>
      <c r="M3">
        <v>1</v>
      </c>
      <c r="N3">
        <v>1</v>
      </c>
    </row>
    <row r="4" spans="1:14" x14ac:dyDescent="0.2">
      <c r="A4">
        <v>1</v>
      </c>
      <c r="B4">
        <v>3</v>
      </c>
      <c r="C4">
        <v>4</v>
      </c>
      <c r="D4">
        <v>100</v>
      </c>
      <c r="E4">
        <v>0</v>
      </c>
      <c r="F4">
        <v>1</v>
      </c>
      <c r="G4">
        <v>0</v>
      </c>
      <c r="H4">
        <v>0</v>
      </c>
      <c r="I4">
        <v>1</v>
      </c>
      <c r="J4">
        <v>0</v>
      </c>
      <c r="K4">
        <v>0</v>
      </c>
      <c r="L4" t="s">
        <v>78</v>
      </c>
      <c r="M4">
        <v>1</v>
      </c>
      <c r="N4">
        <v>1</v>
      </c>
    </row>
    <row r="5" spans="1:14" x14ac:dyDescent="0.2">
      <c r="A5" s="28">
        <v>8</v>
      </c>
      <c r="B5" s="28">
        <v>2</v>
      </c>
      <c r="C5">
        <v>4</v>
      </c>
      <c r="D5">
        <v>0</v>
      </c>
      <c r="E5" s="28">
        <v>0</v>
      </c>
      <c r="F5" s="28">
        <v>0</v>
      </c>
      <c r="G5" s="28">
        <v>0</v>
      </c>
      <c r="H5" s="28">
        <v>1</v>
      </c>
      <c r="I5" s="28">
        <v>0</v>
      </c>
      <c r="J5" s="28">
        <v>0</v>
      </c>
      <c r="K5" s="28">
        <v>1</v>
      </c>
      <c r="L5" t="s">
        <v>223</v>
      </c>
      <c r="M5" s="28">
        <v>0</v>
      </c>
      <c r="N5" s="28">
        <v>0</v>
      </c>
    </row>
    <row r="6" spans="1:14" x14ac:dyDescent="0.2">
      <c r="A6" s="28">
        <v>10</v>
      </c>
      <c r="B6" s="28">
        <v>1</v>
      </c>
      <c r="C6">
        <v>4</v>
      </c>
      <c r="D6">
        <v>0</v>
      </c>
      <c r="E6" s="28">
        <v>0</v>
      </c>
      <c r="F6" s="28">
        <v>0</v>
      </c>
      <c r="G6" s="28">
        <v>0</v>
      </c>
      <c r="H6" s="28">
        <v>1</v>
      </c>
      <c r="I6" s="28">
        <v>0</v>
      </c>
      <c r="J6" s="28">
        <v>0</v>
      </c>
      <c r="K6" s="28">
        <v>1</v>
      </c>
      <c r="L6" t="s">
        <v>223</v>
      </c>
      <c r="M6" s="28">
        <v>0</v>
      </c>
      <c r="N6" s="28">
        <v>0</v>
      </c>
    </row>
    <row r="7" spans="1:14" x14ac:dyDescent="0.2">
      <c r="A7" s="28">
        <v>10</v>
      </c>
      <c r="B7" s="28">
        <v>2</v>
      </c>
      <c r="C7">
        <v>4</v>
      </c>
      <c r="D7">
        <v>0</v>
      </c>
      <c r="E7" s="28">
        <v>0</v>
      </c>
      <c r="F7" s="28">
        <v>0</v>
      </c>
      <c r="G7" s="28">
        <v>0</v>
      </c>
      <c r="H7" s="28">
        <v>1</v>
      </c>
      <c r="I7" s="28">
        <v>0</v>
      </c>
      <c r="J7" s="28">
        <v>0</v>
      </c>
      <c r="K7" s="28">
        <v>1</v>
      </c>
      <c r="L7" t="s">
        <v>223</v>
      </c>
      <c r="M7" s="28">
        <v>0</v>
      </c>
      <c r="N7" s="28">
        <v>0</v>
      </c>
    </row>
    <row r="8" spans="1:14" x14ac:dyDescent="0.2">
      <c r="A8" s="28">
        <v>10</v>
      </c>
      <c r="B8" s="28">
        <v>3</v>
      </c>
      <c r="C8">
        <v>4</v>
      </c>
      <c r="D8">
        <v>0</v>
      </c>
      <c r="E8" s="28">
        <v>0</v>
      </c>
      <c r="F8" s="28">
        <v>0</v>
      </c>
      <c r="G8" s="28">
        <v>0</v>
      </c>
      <c r="H8" s="28">
        <v>1</v>
      </c>
      <c r="I8" s="28">
        <v>0</v>
      </c>
      <c r="J8" s="28">
        <v>0</v>
      </c>
      <c r="K8" s="28">
        <v>1</v>
      </c>
      <c r="L8" t="s">
        <v>223</v>
      </c>
      <c r="M8" s="28">
        <v>0</v>
      </c>
      <c r="N8" s="28">
        <v>0</v>
      </c>
    </row>
    <row r="9" spans="1:14" x14ac:dyDescent="0.2">
      <c r="A9" s="28">
        <v>11</v>
      </c>
      <c r="B9" s="28">
        <v>2</v>
      </c>
      <c r="C9">
        <v>4</v>
      </c>
      <c r="D9">
        <v>0</v>
      </c>
      <c r="E9" s="28">
        <v>0</v>
      </c>
      <c r="F9" s="28">
        <v>0</v>
      </c>
      <c r="G9" s="28">
        <v>0</v>
      </c>
      <c r="H9" s="28">
        <v>1</v>
      </c>
      <c r="I9" s="28">
        <v>0</v>
      </c>
      <c r="J9" s="28">
        <v>0</v>
      </c>
      <c r="K9" s="28">
        <v>1</v>
      </c>
      <c r="L9" t="s">
        <v>223</v>
      </c>
      <c r="M9" s="28">
        <v>0</v>
      </c>
      <c r="N9" s="28">
        <v>0</v>
      </c>
    </row>
    <row r="10" spans="1:14" x14ac:dyDescent="0.2">
      <c r="A10" s="28">
        <v>12</v>
      </c>
      <c r="B10" s="28">
        <v>1</v>
      </c>
      <c r="C10">
        <v>4</v>
      </c>
      <c r="D10">
        <v>0</v>
      </c>
      <c r="E10" s="28">
        <v>0</v>
      </c>
      <c r="F10" s="28">
        <v>0</v>
      </c>
      <c r="G10" s="28">
        <v>0</v>
      </c>
      <c r="H10" s="28">
        <v>1</v>
      </c>
      <c r="I10" s="28">
        <v>0</v>
      </c>
      <c r="J10" s="28">
        <v>0</v>
      </c>
      <c r="K10" s="28">
        <v>1</v>
      </c>
      <c r="L10" t="s">
        <v>223</v>
      </c>
      <c r="M10" s="28">
        <v>0</v>
      </c>
      <c r="N10" s="28">
        <v>0</v>
      </c>
    </row>
    <row r="11" spans="1:14" x14ac:dyDescent="0.2">
      <c r="A11" s="28">
        <v>13</v>
      </c>
      <c r="B11" s="28">
        <v>3</v>
      </c>
      <c r="C11">
        <v>4</v>
      </c>
      <c r="D11">
        <v>0</v>
      </c>
      <c r="E11" s="28">
        <v>0</v>
      </c>
      <c r="F11" s="28">
        <v>0</v>
      </c>
      <c r="G11" s="28">
        <v>0</v>
      </c>
      <c r="H11" s="28">
        <v>1</v>
      </c>
      <c r="I11" s="28">
        <v>0</v>
      </c>
      <c r="J11" s="28">
        <v>0</v>
      </c>
      <c r="K11" s="28">
        <v>1</v>
      </c>
      <c r="L11" t="s">
        <v>223</v>
      </c>
      <c r="M11" s="28">
        <v>0</v>
      </c>
      <c r="N11" s="28">
        <v>0</v>
      </c>
    </row>
  </sheetData>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98"/>
  <sheetViews>
    <sheetView workbookViewId="0">
      <selection activeCell="C2" sqref="C2:E2"/>
    </sheetView>
  </sheetViews>
  <sheetFormatPr baseColWidth="10" defaultColWidth="8.83203125" defaultRowHeight="15" x14ac:dyDescent="0.2"/>
  <cols>
    <col min="1" max="1" width="10.6640625" bestFit="1" customWidth="1"/>
  </cols>
  <sheetData>
    <row r="1" spans="1:6" x14ac:dyDescent="0.2">
      <c r="A1" t="s">
        <v>163</v>
      </c>
      <c r="B1" t="s">
        <v>78</v>
      </c>
      <c r="C1" t="s">
        <v>224</v>
      </c>
      <c r="D1" t="s">
        <v>225</v>
      </c>
      <c r="E1" t="s">
        <v>226</v>
      </c>
      <c r="F1" t="s">
        <v>223</v>
      </c>
    </row>
    <row r="2" spans="1:6" x14ac:dyDescent="0.2">
      <c r="A2">
        <v>1</v>
      </c>
      <c r="B2">
        <v>1</v>
      </c>
      <c r="C2">
        <v>0.252</v>
      </c>
      <c r="D2">
        <v>0.36099999999999999</v>
      </c>
      <c r="E2">
        <v>0.35</v>
      </c>
      <c r="F2">
        <v>0</v>
      </c>
    </row>
    <row r="3" spans="1:6" x14ac:dyDescent="0.2">
      <c r="A3">
        <v>2</v>
      </c>
      <c r="B3">
        <v>1</v>
      </c>
      <c r="C3">
        <v>0.23949999999999999</v>
      </c>
      <c r="D3">
        <v>0.40200000000000002</v>
      </c>
      <c r="E3">
        <v>0.33750000000000002</v>
      </c>
      <c r="F3">
        <v>0</v>
      </c>
    </row>
    <row r="4" spans="1:6" x14ac:dyDescent="0.2">
      <c r="A4">
        <v>3</v>
      </c>
      <c r="B4">
        <v>1</v>
      </c>
      <c r="C4">
        <v>0.22700000000000001</v>
      </c>
      <c r="D4">
        <v>0.442</v>
      </c>
      <c r="E4">
        <v>0.32500000000000001</v>
      </c>
      <c r="F4">
        <v>0</v>
      </c>
    </row>
    <row r="5" spans="1:6" x14ac:dyDescent="0.2">
      <c r="A5">
        <v>4</v>
      </c>
      <c r="B5">
        <v>1</v>
      </c>
      <c r="C5">
        <v>0.2145</v>
      </c>
      <c r="D5">
        <v>0.42499999999999999</v>
      </c>
      <c r="E5">
        <v>0.3125</v>
      </c>
      <c r="F5">
        <v>0</v>
      </c>
    </row>
    <row r="6" spans="1:6" x14ac:dyDescent="0.2">
      <c r="A6">
        <v>5</v>
      </c>
      <c r="B6">
        <v>1</v>
      </c>
      <c r="C6">
        <v>0.20200000000000001</v>
      </c>
      <c r="D6">
        <v>0.40699999999999997</v>
      </c>
      <c r="E6">
        <v>0.3</v>
      </c>
      <c r="F6">
        <v>0</v>
      </c>
    </row>
    <row r="7" spans="1:6" x14ac:dyDescent="0.2">
      <c r="A7">
        <v>6</v>
      </c>
      <c r="B7">
        <v>1</v>
      </c>
      <c r="C7">
        <v>0.19675000000000001</v>
      </c>
      <c r="D7">
        <v>0.41299999999999998</v>
      </c>
      <c r="E7">
        <v>0.29499999999999998</v>
      </c>
      <c r="F7">
        <v>0</v>
      </c>
    </row>
    <row r="8" spans="1:6" x14ac:dyDescent="0.2">
      <c r="A8">
        <v>7</v>
      </c>
      <c r="B8">
        <v>1</v>
      </c>
      <c r="C8">
        <v>0.1915</v>
      </c>
      <c r="D8">
        <v>0.41799999999999998</v>
      </c>
      <c r="E8">
        <v>0.28999999999999998</v>
      </c>
      <c r="F8">
        <v>0</v>
      </c>
    </row>
    <row r="9" spans="1:6" x14ac:dyDescent="0.2">
      <c r="A9">
        <v>8</v>
      </c>
      <c r="B9">
        <v>1</v>
      </c>
      <c r="C9">
        <v>0.18625</v>
      </c>
      <c r="D9">
        <v>0.44500000000000001</v>
      </c>
      <c r="E9">
        <v>0.28499999999999998</v>
      </c>
      <c r="F9">
        <v>0</v>
      </c>
    </row>
    <row r="10" spans="1:6" x14ac:dyDescent="0.2">
      <c r="A10">
        <v>9</v>
      </c>
      <c r="B10">
        <v>1</v>
      </c>
      <c r="C10">
        <v>0.18099999999999999</v>
      </c>
      <c r="D10">
        <v>0.47199999999999998</v>
      </c>
      <c r="E10">
        <v>0.28000000000000003</v>
      </c>
      <c r="F10">
        <v>0</v>
      </c>
    </row>
    <row r="11" spans="1:6" x14ac:dyDescent="0.2">
      <c r="A11">
        <v>10</v>
      </c>
      <c r="B11">
        <v>1</v>
      </c>
      <c r="C11">
        <v>0.18375</v>
      </c>
      <c r="D11">
        <v>0.437</v>
      </c>
      <c r="E11">
        <v>0.29249999999999998</v>
      </c>
      <c r="F11">
        <v>0</v>
      </c>
    </row>
    <row r="12" spans="1:6" x14ac:dyDescent="0.2">
      <c r="A12">
        <v>11</v>
      </c>
      <c r="B12">
        <v>1</v>
      </c>
      <c r="C12">
        <v>0.1865</v>
      </c>
      <c r="D12">
        <v>0.40100000000000002</v>
      </c>
      <c r="E12">
        <v>0.30499999999999999</v>
      </c>
      <c r="F12">
        <v>0</v>
      </c>
    </row>
    <row r="13" spans="1:6" x14ac:dyDescent="0.2">
      <c r="A13">
        <v>12</v>
      </c>
      <c r="B13">
        <v>1</v>
      </c>
      <c r="C13">
        <v>0.18925</v>
      </c>
      <c r="D13">
        <v>0.45600000000000002</v>
      </c>
      <c r="E13">
        <v>0.3175</v>
      </c>
      <c r="F13">
        <v>0</v>
      </c>
    </row>
    <row r="14" spans="1:6" x14ac:dyDescent="0.2">
      <c r="A14">
        <v>13</v>
      </c>
      <c r="B14">
        <v>1</v>
      </c>
      <c r="C14">
        <v>0.192</v>
      </c>
      <c r="D14">
        <v>0.51100000000000001</v>
      </c>
      <c r="E14">
        <v>0.33</v>
      </c>
      <c r="F14">
        <v>0</v>
      </c>
    </row>
    <row r="15" spans="1:6" x14ac:dyDescent="0.2">
      <c r="A15">
        <v>14</v>
      </c>
      <c r="B15">
        <v>1</v>
      </c>
      <c r="C15">
        <v>0.192</v>
      </c>
      <c r="D15">
        <v>0.52400000000000002</v>
      </c>
      <c r="E15">
        <v>0.34250000000000003</v>
      </c>
      <c r="F15">
        <v>0</v>
      </c>
    </row>
    <row r="16" spans="1:6" x14ac:dyDescent="0.2">
      <c r="A16">
        <v>15</v>
      </c>
      <c r="B16">
        <v>1</v>
      </c>
      <c r="C16">
        <v>0.192</v>
      </c>
      <c r="D16">
        <v>0.53700000000000003</v>
      </c>
      <c r="E16">
        <v>0.35499999999999998</v>
      </c>
      <c r="F16">
        <v>0</v>
      </c>
    </row>
    <row r="17" spans="1:6" x14ac:dyDescent="0.2">
      <c r="A17">
        <v>16</v>
      </c>
      <c r="B17">
        <v>1</v>
      </c>
      <c r="C17">
        <v>0.192</v>
      </c>
      <c r="D17">
        <v>0.57999999999999996</v>
      </c>
      <c r="E17">
        <v>0.36749999999999999</v>
      </c>
      <c r="F17">
        <v>0</v>
      </c>
    </row>
    <row r="18" spans="1:6" x14ac:dyDescent="0.2">
      <c r="A18">
        <v>17</v>
      </c>
      <c r="B18">
        <v>1</v>
      </c>
      <c r="C18">
        <v>0.192</v>
      </c>
      <c r="D18">
        <v>0.623</v>
      </c>
      <c r="E18">
        <v>0.38</v>
      </c>
      <c r="F18">
        <v>0</v>
      </c>
    </row>
    <row r="19" spans="1:6" x14ac:dyDescent="0.2">
      <c r="A19">
        <v>18</v>
      </c>
      <c r="B19">
        <v>1</v>
      </c>
      <c r="C19">
        <v>0.19950000000000001</v>
      </c>
      <c r="D19">
        <v>0.60899999999999999</v>
      </c>
      <c r="E19">
        <v>0.41</v>
      </c>
      <c r="F19">
        <v>0</v>
      </c>
    </row>
    <row r="20" spans="1:6" x14ac:dyDescent="0.2">
      <c r="A20">
        <v>19</v>
      </c>
      <c r="B20">
        <v>1</v>
      </c>
      <c r="C20">
        <v>0.20699999999999999</v>
      </c>
      <c r="D20">
        <v>0.59499999999999997</v>
      </c>
      <c r="E20">
        <v>0.44</v>
      </c>
      <c r="F20">
        <v>0</v>
      </c>
    </row>
    <row r="21" spans="1:6" x14ac:dyDescent="0.2">
      <c r="A21">
        <v>20</v>
      </c>
      <c r="B21">
        <v>1</v>
      </c>
      <c r="C21">
        <v>0.2145</v>
      </c>
      <c r="D21">
        <v>0.57299999999999995</v>
      </c>
      <c r="E21">
        <v>0.47</v>
      </c>
      <c r="F21">
        <v>0</v>
      </c>
    </row>
    <row r="22" spans="1:6" x14ac:dyDescent="0.2">
      <c r="A22">
        <v>21</v>
      </c>
      <c r="B22">
        <v>1</v>
      </c>
      <c r="C22">
        <v>0.222</v>
      </c>
      <c r="D22">
        <v>0.55100000000000005</v>
      </c>
      <c r="E22">
        <v>0.5</v>
      </c>
      <c r="F22">
        <v>0</v>
      </c>
    </row>
    <row r="23" spans="1:6" x14ac:dyDescent="0.2">
      <c r="A23">
        <v>22</v>
      </c>
      <c r="B23">
        <v>1</v>
      </c>
      <c r="C23">
        <v>0.24199999999999999</v>
      </c>
      <c r="D23">
        <v>0.56399999999999995</v>
      </c>
      <c r="E23">
        <v>0.5625</v>
      </c>
      <c r="F23">
        <v>0</v>
      </c>
    </row>
    <row r="24" spans="1:6" x14ac:dyDescent="0.2">
      <c r="A24">
        <v>23</v>
      </c>
      <c r="B24">
        <v>1</v>
      </c>
      <c r="C24">
        <v>0.26200000000000001</v>
      </c>
      <c r="D24">
        <v>0.57599999999999996</v>
      </c>
      <c r="E24">
        <v>0.625</v>
      </c>
      <c r="F24">
        <v>0</v>
      </c>
    </row>
    <row r="25" spans="1:6" x14ac:dyDescent="0.2">
      <c r="A25">
        <v>24</v>
      </c>
      <c r="B25">
        <v>1</v>
      </c>
      <c r="C25">
        <v>0.28199999999999997</v>
      </c>
      <c r="D25">
        <v>0.63100000000000001</v>
      </c>
      <c r="E25">
        <v>0.6875</v>
      </c>
      <c r="F25">
        <v>0</v>
      </c>
    </row>
    <row r="26" spans="1:6" x14ac:dyDescent="0.2">
      <c r="A26">
        <v>25</v>
      </c>
      <c r="B26">
        <v>1</v>
      </c>
      <c r="C26">
        <v>0.30199999999999999</v>
      </c>
      <c r="D26">
        <v>0.68600000000000005</v>
      </c>
      <c r="E26">
        <v>0.75</v>
      </c>
      <c r="F26">
        <v>0</v>
      </c>
    </row>
    <row r="27" spans="1:6" x14ac:dyDescent="0.2">
      <c r="A27">
        <v>26</v>
      </c>
      <c r="B27">
        <v>1</v>
      </c>
      <c r="C27">
        <v>0.39024999999999999</v>
      </c>
      <c r="D27">
        <v>0.68600000000000005</v>
      </c>
      <c r="E27">
        <v>0.77749999999999997</v>
      </c>
      <c r="F27">
        <v>0</v>
      </c>
    </row>
    <row r="28" spans="1:6" x14ac:dyDescent="0.2">
      <c r="A28">
        <v>27</v>
      </c>
      <c r="B28">
        <v>1</v>
      </c>
      <c r="C28">
        <v>0.47849999999999998</v>
      </c>
      <c r="D28">
        <v>0.68500000000000005</v>
      </c>
      <c r="E28">
        <v>0.80500000000000005</v>
      </c>
      <c r="F28">
        <v>0</v>
      </c>
    </row>
    <row r="29" spans="1:6" x14ac:dyDescent="0.2">
      <c r="A29">
        <v>28</v>
      </c>
      <c r="B29">
        <v>1</v>
      </c>
      <c r="C29">
        <v>0.56674999999999998</v>
      </c>
      <c r="D29">
        <v>0.76400000000000001</v>
      </c>
      <c r="E29">
        <v>0.83250000000000002</v>
      </c>
      <c r="F29">
        <v>0</v>
      </c>
    </row>
    <row r="30" spans="1:6" x14ac:dyDescent="0.2">
      <c r="A30">
        <v>29</v>
      </c>
      <c r="B30">
        <v>1</v>
      </c>
      <c r="C30">
        <v>0.65500000000000003</v>
      </c>
      <c r="D30">
        <v>0.84199999999999997</v>
      </c>
      <c r="E30">
        <v>0.86</v>
      </c>
      <c r="F30">
        <v>0</v>
      </c>
    </row>
    <row r="31" spans="1:6" x14ac:dyDescent="0.2">
      <c r="A31">
        <v>30</v>
      </c>
      <c r="B31">
        <v>1</v>
      </c>
      <c r="C31">
        <v>0.68025000000000002</v>
      </c>
      <c r="D31">
        <v>0.83</v>
      </c>
      <c r="E31">
        <v>0.89</v>
      </c>
      <c r="F31">
        <v>0</v>
      </c>
    </row>
    <row r="32" spans="1:6" x14ac:dyDescent="0.2">
      <c r="A32">
        <v>31</v>
      </c>
      <c r="B32">
        <v>1</v>
      </c>
      <c r="C32">
        <v>0.70550000000000002</v>
      </c>
      <c r="D32">
        <v>0.81799999999999995</v>
      </c>
      <c r="E32">
        <v>0.92</v>
      </c>
      <c r="F32">
        <v>0</v>
      </c>
    </row>
    <row r="33" spans="1:6" x14ac:dyDescent="0.2">
      <c r="A33">
        <v>32</v>
      </c>
      <c r="B33">
        <v>1</v>
      </c>
      <c r="C33">
        <v>0.73075000000000001</v>
      </c>
      <c r="D33">
        <v>0.84499999999999997</v>
      </c>
      <c r="E33">
        <v>0.95</v>
      </c>
      <c r="F33">
        <v>0</v>
      </c>
    </row>
    <row r="34" spans="1:6" x14ac:dyDescent="0.2">
      <c r="A34">
        <v>33</v>
      </c>
      <c r="B34">
        <v>1</v>
      </c>
      <c r="C34">
        <v>0.75600000000000001</v>
      </c>
      <c r="D34">
        <v>0.871</v>
      </c>
      <c r="E34">
        <v>0.98</v>
      </c>
      <c r="F34">
        <v>0</v>
      </c>
    </row>
    <row r="35" spans="1:6" x14ac:dyDescent="0.2">
      <c r="A35">
        <v>34</v>
      </c>
      <c r="B35">
        <v>1</v>
      </c>
      <c r="C35">
        <v>0.74350000000000005</v>
      </c>
      <c r="D35">
        <v>0.878</v>
      </c>
      <c r="E35">
        <v>0.97750000000000004</v>
      </c>
      <c r="F35">
        <v>4.9250000000000002E-2</v>
      </c>
    </row>
    <row r="36" spans="1:6" x14ac:dyDescent="0.2">
      <c r="A36">
        <v>35</v>
      </c>
      <c r="B36">
        <v>1</v>
      </c>
      <c r="C36">
        <v>0.73099999999999998</v>
      </c>
      <c r="D36">
        <v>0.88400000000000001</v>
      </c>
      <c r="E36">
        <v>0.97499999999999998</v>
      </c>
      <c r="F36">
        <v>9.8500000000000004E-2</v>
      </c>
    </row>
    <row r="37" spans="1:6" x14ac:dyDescent="0.2">
      <c r="A37">
        <v>36</v>
      </c>
      <c r="B37">
        <v>1</v>
      </c>
      <c r="C37">
        <v>0.71850000000000003</v>
      </c>
      <c r="D37">
        <v>0.86799999999999999</v>
      </c>
      <c r="E37">
        <v>0.97250000000000003</v>
      </c>
      <c r="F37">
        <v>0.14774999999999999</v>
      </c>
    </row>
    <row r="38" spans="1:6" x14ac:dyDescent="0.2">
      <c r="A38">
        <v>37</v>
      </c>
      <c r="B38">
        <v>1</v>
      </c>
      <c r="C38">
        <v>0.70599999999999996</v>
      </c>
      <c r="D38">
        <v>0.85099999999999998</v>
      </c>
      <c r="E38">
        <v>0.97</v>
      </c>
      <c r="F38">
        <v>0.19700000000000001</v>
      </c>
    </row>
    <row r="39" spans="1:6" x14ac:dyDescent="0.2">
      <c r="A39">
        <v>38</v>
      </c>
      <c r="B39">
        <v>1</v>
      </c>
      <c r="C39">
        <v>0.68825000000000003</v>
      </c>
      <c r="D39">
        <v>0.89800000000000002</v>
      </c>
      <c r="E39">
        <v>0.95750000000000002</v>
      </c>
      <c r="F39">
        <v>0.28899999999999998</v>
      </c>
    </row>
    <row r="40" spans="1:6" x14ac:dyDescent="0.2">
      <c r="A40">
        <v>39</v>
      </c>
      <c r="B40">
        <v>1</v>
      </c>
      <c r="C40">
        <v>0.67049999999999998</v>
      </c>
      <c r="D40">
        <v>0.94499999999999995</v>
      </c>
      <c r="E40">
        <v>0.94499999999999995</v>
      </c>
      <c r="F40">
        <v>0.38100000000000001</v>
      </c>
    </row>
    <row r="41" spans="1:6" x14ac:dyDescent="0.2">
      <c r="A41">
        <v>40</v>
      </c>
      <c r="B41">
        <v>1</v>
      </c>
      <c r="C41">
        <v>0.65275000000000005</v>
      </c>
      <c r="D41">
        <v>0.92200000000000004</v>
      </c>
      <c r="E41">
        <v>0.9325</v>
      </c>
      <c r="F41">
        <v>0.47299999999999998</v>
      </c>
    </row>
    <row r="42" spans="1:6" x14ac:dyDescent="0.2">
      <c r="A42">
        <v>41</v>
      </c>
      <c r="B42">
        <v>1</v>
      </c>
      <c r="C42">
        <v>0.63500000000000001</v>
      </c>
      <c r="D42">
        <v>0.89900000000000002</v>
      </c>
      <c r="E42">
        <v>0.92</v>
      </c>
      <c r="F42">
        <v>0.56499999999999995</v>
      </c>
    </row>
    <row r="43" spans="1:6" x14ac:dyDescent="0.2">
      <c r="A43">
        <v>42</v>
      </c>
      <c r="B43">
        <v>1</v>
      </c>
      <c r="C43">
        <v>0.62749999999999995</v>
      </c>
      <c r="D43">
        <v>0.89500000000000002</v>
      </c>
      <c r="E43">
        <v>0.89</v>
      </c>
      <c r="F43">
        <v>0.59250000000000003</v>
      </c>
    </row>
    <row r="44" spans="1:6" x14ac:dyDescent="0.2">
      <c r="A44">
        <v>43</v>
      </c>
      <c r="B44">
        <v>1</v>
      </c>
      <c r="C44">
        <v>0.62</v>
      </c>
      <c r="D44">
        <v>0.89</v>
      </c>
      <c r="E44">
        <v>0.86</v>
      </c>
      <c r="F44">
        <v>0.62</v>
      </c>
    </row>
    <row r="45" spans="1:6" x14ac:dyDescent="0.2">
      <c r="A45">
        <v>44</v>
      </c>
      <c r="B45">
        <v>1</v>
      </c>
      <c r="C45">
        <v>0.61250000000000004</v>
      </c>
      <c r="D45">
        <v>0.85499999999999998</v>
      </c>
      <c r="E45">
        <v>0.83</v>
      </c>
      <c r="F45">
        <v>0.64749999999999996</v>
      </c>
    </row>
    <row r="46" spans="1:6" x14ac:dyDescent="0.2">
      <c r="A46">
        <v>45</v>
      </c>
      <c r="B46">
        <v>1</v>
      </c>
      <c r="C46">
        <v>0.60499999999999998</v>
      </c>
      <c r="D46">
        <v>0.81899999999999995</v>
      </c>
      <c r="E46">
        <v>0.8</v>
      </c>
      <c r="F46">
        <v>0.67500000000000004</v>
      </c>
    </row>
    <row r="47" spans="1:6" x14ac:dyDescent="0.2">
      <c r="A47">
        <v>46</v>
      </c>
      <c r="B47">
        <v>1</v>
      </c>
      <c r="C47">
        <v>0.65024999999999999</v>
      </c>
      <c r="D47">
        <v>0.82099999999999995</v>
      </c>
      <c r="E47">
        <v>0.8075</v>
      </c>
      <c r="F47">
        <v>0.75600000000000001</v>
      </c>
    </row>
    <row r="48" spans="1:6" x14ac:dyDescent="0.2">
      <c r="A48">
        <v>47</v>
      </c>
      <c r="B48">
        <v>1</v>
      </c>
      <c r="C48">
        <v>0.69550000000000001</v>
      </c>
      <c r="D48">
        <v>0.82299999999999995</v>
      </c>
      <c r="E48">
        <v>0.81499999999999995</v>
      </c>
      <c r="F48">
        <v>0.83699999999999997</v>
      </c>
    </row>
    <row r="49" spans="1:6" x14ac:dyDescent="0.2">
      <c r="A49">
        <v>48</v>
      </c>
      <c r="B49">
        <v>1</v>
      </c>
      <c r="C49">
        <v>0.74075000000000002</v>
      </c>
      <c r="D49">
        <v>0.85499999999999998</v>
      </c>
      <c r="E49">
        <v>0.82250000000000001</v>
      </c>
      <c r="F49">
        <v>0.91800000000000004</v>
      </c>
    </row>
    <row r="50" spans="1:6" x14ac:dyDescent="0.2">
      <c r="A50">
        <v>49</v>
      </c>
      <c r="B50">
        <v>1</v>
      </c>
      <c r="C50">
        <v>0.78600000000000003</v>
      </c>
      <c r="D50">
        <v>0.88600000000000001</v>
      </c>
      <c r="E50">
        <v>0.83</v>
      </c>
      <c r="F50">
        <v>0.999</v>
      </c>
    </row>
    <row r="51" spans="1:6" x14ac:dyDescent="0.2">
      <c r="A51">
        <v>50</v>
      </c>
      <c r="B51">
        <v>1</v>
      </c>
      <c r="C51">
        <v>0.77100000000000002</v>
      </c>
      <c r="D51">
        <v>0.89500000000000002</v>
      </c>
      <c r="E51">
        <v>0.83499999999999996</v>
      </c>
      <c r="F51">
        <v>0.97650000000000003</v>
      </c>
    </row>
    <row r="52" spans="1:6" x14ac:dyDescent="0.2">
      <c r="A52">
        <v>51</v>
      </c>
      <c r="B52">
        <v>1</v>
      </c>
      <c r="C52">
        <v>0.75600000000000001</v>
      </c>
      <c r="D52">
        <v>0.90400000000000003</v>
      </c>
      <c r="E52">
        <v>0.84</v>
      </c>
      <c r="F52">
        <v>0.95399999999999996</v>
      </c>
    </row>
    <row r="53" spans="1:6" x14ac:dyDescent="0.2">
      <c r="A53">
        <v>52</v>
      </c>
      <c r="B53">
        <v>1</v>
      </c>
      <c r="C53">
        <v>0.74099999999999999</v>
      </c>
      <c r="D53">
        <v>0.94399999999999995</v>
      </c>
      <c r="E53">
        <v>0.84499999999999997</v>
      </c>
      <c r="F53">
        <v>0.93149999999999999</v>
      </c>
    </row>
    <row r="54" spans="1:6" x14ac:dyDescent="0.2">
      <c r="A54">
        <v>53</v>
      </c>
      <c r="B54">
        <v>1</v>
      </c>
      <c r="C54">
        <v>0.72599999999999998</v>
      </c>
      <c r="D54">
        <v>0.98399999999999999</v>
      </c>
      <c r="E54">
        <v>0.85</v>
      </c>
      <c r="F54">
        <v>0.90900000000000003</v>
      </c>
    </row>
    <row r="55" spans="1:6" x14ac:dyDescent="0.2">
      <c r="A55">
        <v>54</v>
      </c>
      <c r="B55">
        <v>1</v>
      </c>
      <c r="C55">
        <v>0.69074999999999998</v>
      </c>
      <c r="D55">
        <v>0.97599999999999998</v>
      </c>
      <c r="E55">
        <v>0.85499999999999998</v>
      </c>
      <c r="F55">
        <v>0.88100000000000001</v>
      </c>
    </row>
    <row r="56" spans="1:6" x14ac:dyDescent="0.2">
      <c r="A56">
        <v>55</v>
      </c>
      <c r="B56">
        <v>1</v>
      </c>
      <c r="C56">
        <v>0.65549999999999997</v>
      </c>
      <c r="D56">
        <v>0.96799999999999997</v>
      </c>
      <c r="E56">
        <v>0.86</v>
      </c>
      <c r="F56">
        <v>0.85299999999999998</v>
      </c>
    </row>
    <row r="57" spans="1:6" x14ac:dyDescent="0.2">
      <c r="A57">
        <v>56</v>
      </c>
      <c r="B57">
        <v>1</v>
      </c>
      <c r="C57">
        <v>0.62024999999999997</v>
      </c>
      <c r="D57">
        <v>0.95399999999999996</v>
      </c>
      <c r="E57">
        <v>0.86499999999999999</v>
      </c>
      <c r="F57">
        <v>0.82499999999999996</v>
      </c>
    </row>
    <row r="58" spans="1:6" x14ac:dyDescent="0.2">
      <c r="A58">
        <v>57</v>
      </c>
      <c r="B58">
        <v>1</v>
      </c>
      <c r="C58">
        <v>0.58499999999999996</v>
      </c>
      <c r="D58">
        <v>0.94</v>
      </c>
      <c r="E58">
        <v>0.87</v>
      </c>
      <c r="F58">
        <v>0.79700000000000004</v>
      </c>
    </row>
    <row r="59" spans="1:6" x14ac:dyDescent="0.2">
      <c r="A59">
        <v>58</v>
      </c>
      <c r="B59">
        <v>1</v>
      </c>
      <c r="C59">
        <v>0.56474999999999997</v>
      </c>
      <c r="D59">
        <v>0.95899999999999996</v>
      </c>
      <c r="E59">
        <v>0.87250000000000005</v>
      </c>
      <c r="F59">
        <v>0.71350000000000002</v>
      </c>
    </row>
    <row r="60" spans="1:6" x14ac:dyDescent="0.2">
      <c r="A60">
        <v>59</v>
      </c>
      <c r="B60">
        <v>1</v>
      </c>
      <c r="C60">
        <v>0.54449999999999998</v>
      </c>
      <c r="D60">
        <v>0.97699999999999998</v>
      </c>
      <c r="E60">
        <v>0.875</v>
      </c>
      <c r="F60">
        <v>0.63</v>
      </c>
    </row>
    <row r="61" spans="1:6" x14ac:dyDescent="0.2">
      <c r="A61">
        <v>60</v>
      </c>
      <c r="B61">
        <v>1</v>
      </c>
      <c r="C61">
        <v>0.52424999999999999</v>
      </c>
      <c r="D61">
        <v>0.98099999999999998</v>
      </c>
      <c r="E61">
        <v>0.87749999999999995</v>
      </c>
      <c r="F61">
        <v>0.54649999999999999</v>
      </c>
    </row>
    <row r="62" spans="1:6" x14ac:dyDescent="0.2">
      <c r="A62">
        <v>61</v>
      </c>
      <c r="B62">
        <v>1</v>
      </c>
      <c r="C62">
        <v>0.504</v>
      </c>
      <c r="D62">
        <v>0.98399999999999999</v>
      </c>
      <c r="E62">
        <v>0.88</v>
      </c>
      <c r="F62">
        <v>0.46300000000000002</v>
      </c>
    </row>
    <row r="63" spans="1:6" x14ac:dyDescent="0.2">
      <c r="A63">
        <v>62</v>
      </c>
      <c r="B63">
        <v>1</v>
      </c>
      <c r="C63">
        <v>0.49149999999999999</v>
      </c>
      <c r="D63">
        <v>0.98299999999999998</v>
      </c>
      <c r="E63">
        <v>0.84750000000000003</v>
      </c>
      <c r="F63">
        <v>0.38900000000000001</v>
      </c>
    </row>
    <row r="64" spans="1:6" x14ac:dyDescent="0.2">
      <c r="A64">
        <v>63</v>
      </c>
      <c r="B64">
        <v>1</v>
      </c>
      <c r="C64">
        <v>0.47899999999999998</v>
      </c>
      <c r="D64">
        <v>0.98199999999999998</v>
      </c>
      <c r="E64">
        <v>0.81499999999999995</v>
      </c>
      <c r="F64">
        <v>0.315</v>
      </c>
    </row>
    <row r="65" spans="1:6" x14ac:dyDescent="0.2">
      <c r="A65">
        <v>64</v>
      </c>
      <c r="B65">
        <v>1</v>
      </c>
      <c r="C65">
        <v>0.46650000000000003</v>
      </c>
      <c r="D65">
        <v>0.91700000000000004</v>
      </c>
      <c r="E65">
        <v>0.78249999999999997</v>
      </c>
      <c r="F65">
        <v>0.24099999999999999</v>
      </c>
    </row>
    <row r="66" spans="1:6" x14ac:dyDescent="0.2">
      <c r="A66">
        <v>65</v>
      </c>
      <c r="B66">
        <v>1</v>
      </c>
      <c r="C66">
        <v>0.45400000000000001</v>
      </c>
      <c r="D66">
        <v>0.85099999999999998</v>
      </c>
      <c r="E66">
        <v>0.75</v>
      </c>
      <c r="F66">
        <v>0.16700000000000001</v>
      </c>
    </row>
    <row r="67" spans="1:6" x14ac:dyDescent="0.2">
      <c r="A67">
        <v>66</v>
      </c>
      <c r="B67">
        <v>1</v>
      </c>
      <c r="C67">
        <v>0.51700000000000002</v>
      </c>
      <c r="D67">
        <v>0.85799999999999998</v>
      </c>
      <c r="E67">
        <v>0.6875</v>
      </c>
      <c r="F67">
        <v>0.12525</v>
      </c>
    </row>
    <row r="68" spans="1:6" x14ac:dyDescent="0.2">
      <c r="A68">
        <v>67</v>
      </c>
      <c r="B68">
        <v>1</v>
      </c>
      <c r="C68">
        <v>0.57999999999999996</v>
      </c>
      <c r="D68">
        <v>0.86499999999999999</v>
      </c>
      <c r="E68">
        <v>0.625</v>
      </c>
      <c r="F68">
        <v>8.3500000000000005E-2</v>
      </c>
    </row>
    <row r="69" spans="1:6" x14ac:dyDescent="0.2">
      <c r="A69">
        <v>68</v>
      </c>
      <c r="B69">
        <v>1</v>
      </c>
      <c r="C69">
        <v>0.64300000000000002</v>
      </c>
      <c r="D69">
        <v>0.83499999999999996</v>
      </c>
      <c r="E69">
        <v>0.5625</v>
      </c>
      <c r="F69">
        <v>4.1750000000000002E-2</v>
      </c>
    </row>
    <row r="70" spans="1:6" x14ac:dyDescent="0.2">
      <c r="A70">
        <v>69</v>
      </c>
      <c r="B70">
        <v>1</v>
      </c>
      <c r="C70">
        <v>0.70599999999999996</v>
      </c>
      <c r="D70">
        <v>0.80500000000000005</v>
      </c>
      <c r="E70">
        <v>0.5</v>
      </c>
      <c r="F70">
        <v>0</v>
      </c>
    </row>
    <row r="71" spans="1:6" x14ac:dyDescent="0.2">
      <c r="A71">
        <v>70</v>
      </c>
      <c r="B71">
        <v>1</v>
      </c>
      <c r="C71">
        <v>0.74375000000000002</v>
      </c>
      <c r="D71">
        <v>0.81499999999999995</v>
      </c>
      <c r="E71">
        <v>0.48749999999999999</v>
      </c>
      <c r="F71">
        <v>0</v>
      </c>
    </row>
    <row r="72" spans="1:6" x14ac:dyDescent="0.2">
      <c r="A72">
        <v>71</v>
      </c>
      <c r="B72">
        <v>1</v>
      </c>
      <c r="C72">
        <v>0.78149999999999997</v>
      </c>
      <c r="D72">
        <v>0.82399999999999995</v>
      </c>
      <c r="E72">
        <v>0.47499999999999998</v>
      </c>
      <c r="F72">
        <v>0</v>
      </c>
    </row>
    <row r="73" spans="1:6" x14ac:dyDescent="0.2">
      <c r="A73">
        <v>72</v>
      </c>
      <c r="B73">
        <v>1</v>
      </c>
      <c r="C73">
        <v>0.81925000000000003</v>
      </c>
      <c r="D73">
        <v>0.78500000000000003</v>
      </c>
      <c r="E73">
        <v>0.46250000000000002</v>
      </c>
      <c r="F73">
        <v>0</v>
      </c>
    </row>
    <row r="74" spans="1:6" x14ac:dyDescent="0.2">
      <c r="A74">
        <v>73</v>
      </c>
      <c r="B74">
        <v>1</v>
      </c>
      <c r="C74">
        <v>0.85699999999999998</v>
      </c>
      <c r="D74">
        <v>0.745</v>
      </c>
      <c r="E74">
        <v>0.45</v>
      </c>
      <c r="F74">
        <v>0</v>
      </c>
    </row>
    <row r="75" spans="1:6" x14ac:dyDescent="0.2">
      <c r="A75">
        <v>74</v>
      </c>
      <c r="B75">
        <v>1</v>
      </c>
      <c r="C75">
        <v>0.86950000000000005</v>
      </c>
      <c r="D75">
        <v>0.76400000000000001</v>
      </c>
      <c r="E75">
        <v>0.45</v>
      </c>
      <c r="F75">
        <v>0</v>
      </c>
    </row>
    <row r="76" spans="1:6" x14ac:dyDescent="0.2">
      <c r="A76">
        <v>75</v>
      </c>
      <c r="B76">
        <v>1</v>
      </c>
      <c r="C76">
        <v>0.88200000000000001</v>
      </c>
      <c r="D76">
        <v>0.78200000000000003</v>
      </c>
      <c r="E76">
        <v>0.45</v>
      </c>
      <c r="F76">
        <v>0</v>
      </c>
    </row>
    <row r="77" spans="1:6" x14ac:dyDescent="0.2">
      <c r="A77">
        <v>76</v>
      </c>
      <c r="B77">
        <v>1</v>
      </c>
      <c r="C77">
        <v>0.89449999999999996</v>
      </c>
      <c r="D77">
        <v>0.73299999999999998</v>
      </c>
      <c r="E77">
        <v>0.45</v>
      </c>
      <c r="F77">
        <v>0</v>
      </c>
    </row>
    <row r="78" spans="1:6" x14ac:dyDescent="0.2">
      <c r="A78">
        <v>77</v>
      </c>
      <c r="B78">
        <v>1</v>
      </c>
      <c r="C78">
        <v>0.90700000000000003</v>
      </c>
      <c r="D78">
        <v>0.68400000000000005</v>
      </c>
      <c r="E78">
        <v>0.45</v>
      </c>
      <c r="F78">
        <v>0</v>
      </c>
    </row>
    <row r="79" spans="1:6" x14ac:dyDescent="0.2">
      <c r="A79">
        <v>78</v>
      </c>
      <c r="B79">
        <v>1</v>
      </c>
      <c r="C79">
        <v>0.88700000000000001</v>
      </c>
      <c r="D79">
        <v>0.65700000000000003</v>
      </c>
      <c r="E79">
        <v>0.4375</v>
      </c>
      <c r="F79">
        <v>0</v>
      </c>
    </row>
    <row r="80" spans="1:6" x14ac:dyDescent="0.2">
      <c r="A80">
        <v>79</v>
      </c>
      <c r="B80">
        <v>1</v>
      </c>
      <c r="C80">
        <v>0.86699999999999999</v>
      </c>
      <c r="D80">
        <v>0.63</v>
      </c>
      <c r="E80">
        <v>0.42499999999999999</v>
      </c>
      <c r="F80">
        <v>0</v>
      </c>
    </row>
    <row r="81" spans="1:6" x14ac:dyDescent="0.2">
      <c r="A81">
        <v>80</v>
      </c>
      <c r="B81">
        <v>1</v>
      </c>
      <c r="C81">
        <v>0.84699999999999998</v>
      </c>
      <c r="D81">
        <v>0.64300000000000002</v>
      </c>
      <c r="E81">
        <v>0.41249999999999998</v>
      </c>
      <c r="F81">
        <v>0</v>
      </c>
    </row>
    <row r="82" spans="1:6" x14ac:dyDescent="0.2">
      <c r="A82">
        <v>81</v>
      </c>
      <c r="B82">
        <v>1</v>
      </c>
      <c r="C82">
        <v>0.82699999999999996</v>
      </c>
      <c r="D82">
        <v>0.65500000000000003</v>
      </c>
      <c r="E82">
        <v>0.4</v>
      </c>
      <c r="F82">
        <v>0</v>
      </c>
    </row>
    <row r="83" spans="1:6" x14ac:dyDescent="0.2">
      <c r="A83">
        <v>82</v>
      </c>
      <c r="B83">
        <v>1</v>
      </c>
      <c r="C83">
        <v>0.80925000000000002</v>
      </c>
      <c r="D83">
        <v>0.68500000000000005</v>
      </c>
      <c r="E83">
        <v>0.4</v>
      </c>
      <c r="F83">
        <v>0</v>
      </c>
    </row>
    <row r="84" spans="1:6" x14ac:dyDescent="0.2">
      <c r="A84">
        <v>83</v>
      </c>
      <c r="B84">
        <v>1</v>
      </c>
      <c r="C84">
        <v>0.79149999999999998</v>
      </c>
      <c r="D84">
        <v>0.71399999999999997</v>
      </c>
      <c r="E84">
        <v>0.4</v>
      </c>
      <c r="F84">
        <v>0</v>
      </c>
    </row>
    <row r="85" spans="1:6" x14ac:dyDescent="0.2">
      <c r="A85">
        <v>84</v>
      </c>
      <c r="B85">
        <v>1</v>
      </c>
      <c r="C85">
        <v>0.77375000000000005</v>
      </c>
      <c r="D85">
        <v>0.71799999999999997</v>
      </c>
      <c r="E85">
        <v>0.4</v>
      </c>
      <c r="F85">
        <v>0</v>
      </c>
    </row>
    <row r="86" spans="1:6" x14ac:dyDescent="0.2">
      <c r="A86">
        <v>85</v>
      </c>
      <c r="B86">
        <v>1</v>
      </c>
      <c r="C86">
        <v>0.75600000000000001</v>
      </c>
      <c r="D86">
        <v>0.72099999999999997</v>
      </c>
      <c r="E86">
        <v>0.4</v>
      </c>
      <c r="F86">
        <v>0</v>
      </c>
    </row>
    <row r="87" spans="1:6" x14ac:dyDescent="0.2">
      <c r="A87">
        <v>86</v>
      </c>
      <c r="B87">
        <v>1</v>
      </c>
      <c r="C87">
        <v>0.74350000000000005</v>
      </c>
      <c r="D87">
        <v>0.71699999999999997</v>
      </c>
      <c r="E87">
        <v>0.39500000000000002</v>
      </c>
      <c r="F87">
        <v>0</v>
      </c>
    </row>
    <row r="88" spans="1:6" x14ac:dyDescent="0.2">
      <c r="A88">
        <v>87</v>
      </c>
      <c r="B88">
        <v>1</v>
      </c>
      <c r="C88">
        <v>0.73099999999999998</v>
      </c>
      <c r="D88">
        <v>0.71199999999999997</v>
      </c>
      <c r="E88">
        <v>0.39</v>
      </c>
      <c r="F88">
        <v>0</v>
      </c>
    </row>
    <row r="89" spans="1:6" x14ac:dyDescent="0.2">
      <c r="A89">
        <v>88</v>
      </c>
      <c r="B89">
        <v>1</v>
      </c>
      <c r="C89">
        <v>0.71850000000000003</v>
      </c>
      <c r="D89">
        <v>0.67</v>
      </c>
      <c r="E89">
        <v>0.38500000000000001</v>
      </c>
      <c r="F89">
        <v>0</v>
      </c>
    </row>
    <row r="90" spans="1:6" x14ac:dyDescent="0.2">
      <c r="A90">
        <v>89</v>
      </c>
      <c r="B90">
        <v>1</v>
      </c>
      <c r="C90">
        <v>0.70599999999999996</v>
      </c>
      <c r="D90">
        <v>0.628</v>
      </c>
      <c r="E90">
        <v>0.38</v>
      </c>
      <c r="F90">
        <v>0</v>
      </c>
    </row>
    <row r="91" spans="1:6" x14ac:dyDescent="0.2">
      <c r="A91">
        <v>90</v>
      </c>
      <c r="B91">
        <v>1</v>
      </c>
      <c r="C91">
        <v>0.64300000000000002</v>
      </c>
      <c r="D91">
        <v>0.66800000000000004</v>
      </c>
      <c r="E91">
        <v>0.375</v>
      </c>
      <c r="F91">
        <v>0</v>
      </c>
    </row>
    <row r="92" spans="1:6" x14ac:dyDescent="0.2">
      <c r="A92">
        <v>91</v>
      </c>
      <c r="B92">
        <v>1</v>
      </c>
      <c r="C92">
        <v>0.57999999999999996</v>
      </c>
      <c r="D92">
        <v>0.70699999999999996</v>
      </c>
      <c r="E92">
        <v>0.37</v>
      </c>
      <c r="F92">
        <v>0</v>
      </c>
    </row>
    <row r="93" spans="1:6" x14ac:dyDescent="0.2">
      <c r="A93">
        <v>92</v>
      </c>
      <c r="B93">
        <v>1</v>
      </c>
      <c r="C93">
        <v>0.51700000000000002</v>
      </c>
      <c r="D93">
        <v>0.63200000000000001</v>
      </c>
      <c r="E93">
        <v>0.36499999999999999</v>
      </c>
      <c r="F93">
        <v>0</v>
      </c>
    </row>
    <row r="94" spans="1:6" x14ac:dyDescent="0.2">
      <c r="A94">
        <v>93</v>
      </c>
      <c r="B94">
        <v>1</v>
      </c>
      <c r="C94">
        <v>0.45400000000000001</v>
      </c>
      <c r="D94">
        <v>0.55600000000000005</v>
      </c>
      <c r="E94">
        <v>0.36</v>
      </c>
      <c r="F94">
        <v>0</v>
      </c>
    </row>
    <row r="95" spans="1:6" x14ac:dyDescent="0.2">
      <c r="A95">
        <v>94</v>
      </c>
      <c r="B95">
        <v>1</v>
      </c>
      <c r="C95">
        <v>0.40350000000000003</v>
      </c>
      <c r="D95">
        <v>0.52900000000000003</v>
      </c>
      <c r="E95">
        <v>0.35749999999999998</v>
      </c>
      <c r="F95">
        <v>0</v>
      </c>
    </row>
    <row r="96" spans="1:6" x14ac:dyDescent="0.2">
      <c r="A96">
        <v>95</v>
      </c>
      <c r="B96">
        <v>1</v>
      </c>
      <c r="C96">
        <v>0.35299999999999998</v>
      </c>
      <c r="D96">
        <v>0.501</v>
      </c>
      <c r="E96">
        <v>0.35499999999999998</v>
      </c>
      <c r="F96">
        <v>0</v>
      </c>
    </row>
    <row r="97" spans="1:6" x14ac:dyDescent="0.2">
      <c r="A97">
        <v>96</v>
      </c>
      <c r="B97">
        <v>1</v>
      </c>
      <c r="C97">
        <v>0.30249999999999999</v>
      </c>
      <c r="D97">
        <v>0.43099999999999999</v>
      </c>
      <c r="E97">
        <v>0.35249999999999998</v>
      </c>
      <c r="F97">
        <v>0</v>
      </c>
    </row>
    <row r="98" spans="1:6" x14ac:dyDescent="0.2">
      <c r="A98">
        <v>97</v>
      </c>
      <c r="B98">
        <v>1</v>
      </c>
      <c r="C98">
        <v>0.252</v>
      </c>
      <c r="D98">
        <v>0.36099999999999999</v>
      </c>
      <c r="E98">
        <v>0.35</v>
      </c>
      <c r="F98">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BFD73-770B-4257-8281-A1BA3F87CA42}">
  <dimension ref="A1:F98"/>
  <sheetViews>
    <sheetView workbookViewId="0">
      <selection activeCell="E2" sqref="E2"/>
    </sheetView>
  </sheetViews>
  <sheetFormatPr baseColWidth="10" defaultColWidth="8.83203125" defaultRowHeight="15" x14ac:dyDescent="0.2"/>
  <cols>
    <col min="1" max="1" width="10.6640625" bestFit="1" customWidth="1"/>
    <col min="4" max="4" width="12.5" customWidth="1"/>
    <col min="5" max="5" width="10.6640625" bestFit="1" customWidth="1"/>
  </cols>
  <sheetData>
    <row r="1" spans="1:6" x14ac:dyDescent="0.2">
      <c r="A1" t="s">
        <v>163</v>
      </c>
      <c r="B1" t="s">
        <v>78</v>
      </c>
      <c r="C1" t="s">
        <v>224</v>
      </c>
      <c r="D1" t="s">
        <v>225</v>
      </c>
      <c r="E1" t="s">
        <v>226</v>
      </c>
      <c r="F1" t="s">
        <v>223</v>
      </c>
    </row>
    <row r="2" spans="1:6" x14ac:dyDescent="0.2">
      <c r="A2">
        <v>1</v>
      </c>
      <c r="B2">
        <v>1</v>
      </c>
      <c r="C2">
        <v>0.252</v>
      </c>
      <c r="D2">
        <v>0.36099999999999999</v>
      </c>
      <c r="E2">
        <v>0.35</v>
      </c>
      <c r="F2">
        <v>0</v>
      </c>
    </row>
    <row r="3" spans="1:6" x14ac:dyDescent="0.2">
      <c r="A3">
        <v>2</v>
      </c>
      <c r="B3">
        <v>1</v>
      </c>
      <c r="C3">
        <v>0.23949999999999999</v>
      </c>
      <c r="D3">
        <v>0.40200000000000002</v>
      </c>
      <c r="E3">
        <v>0.33750000000000002</v>
      </c>
      <c r="F3">
        <v>0</v>
      </c>
    </row>
    <row r="4" spans="1:6" x14ac:dyDescent="0.2">
      <c r="A4">
        <v>3</v>
      </c>
      <c r="B4">
        <v>1</v>
      </c>
      <c r="C4">
        <v>0.22700000000000001</v>
      </c>
      <c r="D4">
        <v>0.442</v>
      </c>
      <c r="E4">
        <v>0.32500000000000001</v>
      </c>
      <c r="F4">
        <v>0</v>
      </c>
    </row>
    <row r="5" spans="1:6" x14ac:dyDescent="0.2">
      <c r="A5">
        <v>4</v>
      </c>
      <c r="B5">
        <v>1</v>
      </c>
      <c r="C5">
        <v>0.2145</v>
      </c>
      <c r="D5">
        <v>0.42499999999999999</v>
      </c>
      <c r="E5">
        <v>0.3125</v>
      </c>
      <c r="F5">
        <v>0</v>
      </c>
    </row>
    <row r="6" spans="1:6" x14ac:dyDescent="0.2">
      <c r="A6">
        <v>5</v>
      </c>
      <c r="B6">
        <v>1</v>
      </c>
      <c r="C6">
        <v>0.20200000000000001</v>
      </c>
      <c r="D6">
        <v>0.40699999999999997</v>
      </c>
      <c r="E6">
        <v>0.3</v>
      </c>
      <c r="F6">
        <v>0</v>
      </c>
    </row>
    <row r="7" spans="1:6" x14ac:dyDescent="0.2">
      <c r="A7">
        <v>6</v>
      </c>
      <c r="B7">
        <v>1</v>
      </c>
      <c r="C7">
        <v>0.19675000000000001</v>
      </c>
      <c r="D7">
        <v>0.41299999999999998</v>
      </c>
      <c r="E7">
        <v>0.29499999999999998</v>
      </c>
      <c r="F7">
        <v>0</v>
      </c>
    </row>
    <row r="8" spans="1:6" x14ac:dyDescent="0.2">
      <c r="A8">
        <v>7</v>
      </c>
      <c r="B8">
        <v>1</v>
      </c>
      <c r="C8">
        <v>0.1915</v>
      </c>
      <c r="D8">
        <v>0.41799999999999998</v>
      </c>
      <c r="E8">
        <v>0.28999999999999998</v>
      </c>
      <c r="F8">
        <v>0</v>
      </c>
    </row>
    <row r="9" spans="1:6" x14ac:dyDescent="0.2">
      <c r="A9">
        <v>8</v>
      </c>
      <c r="B9">
        <v>1</v>
      </c>
      <c r="C9">
        <v>0.18625</v>
      </c>
      <c r="D9">
        <v>0.44500000000000001</v>
      </c>
      <c r="E9">
        <v>0.28499999999999998</v>
      </c>
      <c r="F9">
        <v>0</v>
      </c>
    </row>
    <row r="10" spans="1:6" x14ac:dyDescent="0.2">
      <c r="A10">
        <v>9</v>
      </c>
      <c r="B10">
        <v>1</v>
      </c>
      <c r="C10">
        <v>0.18099999999999999</v>
      </c>
      <c r="D10">
        <v>0.47199999999999998</v>
      </c>
      <c r="E10">
        <v>0.28000000000000003</v>
      </c>
      <c r="F10">
        <v>0</v>
      </c>
    </row>
    <row r="11" spans="1:6" x14ac:dyDescent="0.2">
      <c r="A11">
        <v>10</v>
      </c>
      <c r="B11">
        <v>1</v>
      </c>
      <c r="C11">
        <v>0.18375</v>
      </c>
      <c r="D11">
        <v>0.437</v>
      </c>
      <c r="E11">
        <v>0.29249999999999998</v>
      </c>
      <c r="F11">
        <v>0</v>
      </c>
    </row>
    <row r="12" spans="1:6" x14ac:dyDescent="0.2">
      <c r="A12">
        <v>11</v>
      </c>
      <c r="B12">
        <v>1</v>
      </c>
      <c r="C12">
        <v>0.1865</v>
      </c>
      <c r="D12">
        <v>0.40100000000000002</v>
      </c>
      <c r="E12">
        <v>0.30499999999999999</v>
      </c>
      <c r="F12">
        <v>0</v>
      </c>
    </row>
    <row r="13" spans="1:6" x14ac:dyDescent="0.2">
      <c r="A13">
        <v>12</v>
      </c>
      <c r="B13">
        <v>1</v>
      </c>
      <c r="C13">
        <v>0.18925</v>
      </c>
      <c r="D13">
        <v>0.45600000000000002</v>
      </c>
      <c r="E13">
        <v>0.3175</v>
      </c>
      <c r="F13">
        <v>0</v>
      </c>
    </row>
    <row r="14" spans="1:6" x14ac:dyDescent="0.2">
      <c r="A14">
        <v>13</v>
      </c>
      <c r="B14">
        <v>1</v>
      </c>
      <c r="C14">
        <v>0.192</v>
      </c>
      <c r="D14">
        <v>0.51100000000000001</v>
      </c>
      <c r="E14">
        <v>0.33</v>
      </c>
      <c r="F14">
        <v>0</v>
      </c>
    </row>
    <row r="15" spans="1:6" x14ac:dyDescent="0.2">
      <c r="A15">
        <v>14</v>
      </c>
      <c r="B15">
        <v>1</v>
      </c>
      <c r="C15">
        <v>0.192</v>
      </c>
      <c r="D15">
        <v>0.52400000000000002</v>
      </c>
      <c r="E15">
        <v>0.34250000000000003</v>
      </c>
      <c r="F15">
        <v>0</v>
      </c>
    </row>
    <row r="16" spans="1:6" x14ac:dyDescent="0.2">
      <c r="A16">
        <v>15</v>
      </c>
      <c r="B16">
        <v>1</v>
      </c>
      <c r="C16">
        <v>0.192</v>
      </c>
      <c r="D16">
        <v>0.53700000000000003</v>
      </c>
      <c r="E16">
        <v>0.35499999999999998</v>
      </c>
      <c r="F16">
        <v>0</v>
      </c>
    </row>
    <row r="17" spans="1:6" x14ac:dyDescent="0.2">
      <c r="A17">
        <v>16</v>
      </c>
      <c r="B17">
        <v>1</v>
      </c>
      <c r="C17">
        <v>0.192</v>
      </c>
      <c r="D17">
        <v>0.57999999999999996</v>
      </c>
      <c r="E17">
        <v>0.36749999999999999</v>
      </c>
      <c r="F17">
        <v>0</v>
      </c>
    </row>
    <row r="18" spans="1:6" x14ac:dyDescent="0.2">
      <c r="A18">
        <v>17</v>
      </c>
      <c r="B18">
        <v>1</v>
      </c>
      <c r="C18">
        <v>0.192</v>
      </c>
      <c r="D18">
        <v>0.623</v>
      </c>
      <c r="E18">
        <v>0.38</v>
      </c>
      <c r="F18">
        <v>0</v>
      </c>
    </row>
    <row r="19" spans="1:6" x14ac:dyDescent="0.2">
      <c r="A19">
        <v>18</v>
      </c>
      <c r="B19">
        <v>1</v>
      </c>
      <c r="C19">
        <v>0.19950000000000001</v>
      </c>
      <c r="D19">
        <v>0.60899999999999999</v>
      </c>
      <c r="E19">
        <v>0.41</v>
      </c>
      <c r="F19">
        <v>0</v>
      </c>
    </row>
    <row r="20" spans="1:6" x14ac:dyDescent="0.2">
      <c r="A20">
        <v>19</v>
      </c>
      <c r="B20">
        <v>1</v>
      </c>
      <c r="C20">
        <v>0.20699999999999999</v>
      </c>
      <c r="D20">
        <v>0.59499999999999997</v>
      </c>
      <c r="E20">
        <v>0.44</v>
      </c>
      <c r="F20">
        <v>0</v>
      </c>
    </row>
    <row r="21" spans="1:6" x14ac:dyDescent="0.2">
      <c r="A21">
        <v>20</v>
      </c>
      <c r="B21">
        <v>1</v>
      </c>
      <c r="C21">
        <v>0.2145</v>
      </c>
      <c r="D21">
        <v>0.57299999999999995</v>
      </c>
      <c r="E21">
        <v>0.47</v>
      </c>
      <c r="F21">
        <v>0</v>
      </c>
    </row>
    <row r="22" spans="1:6" x14ac:dyDescent="0.2">
      <c r="A22">
        <v>21</v>
      </c>
      <c r="B22">
        <v>1</v>
      </c>
      <c r="C22">
        <v>0.222</v>
      </c>
      <c r="D22">
        <v>0.55100000000000005</v>
      </c>
      <c r="E22">
        <v>0.5</v>
      </c>
      <c r="F22">
        <v>0</v>
      </c>
    </row>
    <row r="23" spans="1:6" x14ac:dyDescent="0.2">
      <c r="A23">
        <v>22</v>
      </c>
      <c r="B23">
        <v>1</v>
      </c>
      <c r="C23">
        <v>0.24199999999999999</v>
      </c>
      <c r="D23">
        <v>0.56399999999999995</v>
      </c>
      <c r="E23">
        <v>0.5625</v>
      </c>
      <c r="F23">
        <v>0</v>
      </c>
    </row>
    <row r="24" spans="1:6" x14ac:dyDescent="0.2">
      <c r="A24">
        <v>23</v>
      </c>
      <c r="B24">
        <v>1</v>
      </c>
      <c r="C24">
        <v>0.26200000000000001</v>
      </c>
      <c r="D24">
        <v>0.57599999999999996</v>
      </c>
      <c r="E24">
        <v>0.625</v>
      </c>
      <c r="F24">
        <v>0</v>
      </c>
    </row>
    <row r="25" spans="1:6" x14ac:dyDescent="0.2">
      <c r="A25">
        <v>24</v>
      </c>
      <c r="B25">
        <v>1</v>
      </c>
      <c r="C25">
        <v>0.28199999999999997</v>
      </c>
      <c r="D25">
        <v>0.63100000000000001</v>
      </c>
      <c r="E25">
        <v>0.6875</v>
      </c>
      <c r="F25">
        <v>0</v>
      </c>
    </row>
    <row r="26" spans="1:6" x14ac:dyDescent="0.2">
      <c r="A26">
        <v>25</v>
      </c>
      <c r="B26">
        <v>1</v>
      </c>
      <c r="C26">
        <v>0.30199999999999999</v>
      </c>
      <c r="D26">
        <v>0.68600000000000005</v>
      </c>
      <c r="E26">
        <v>0.75</v>
      </c>
      <c r="F26">
        <v>0</v>
      </c>
    </row>
    <row r="27" spans="1:6" x14ac:dyDescent="0.2">
      <c r="A27">
        <v>26</v>
      </c>
      <c r="B27">
        <v>1</v>
      </c>
      <c r="C27">
        <v>0.39024999999999999</v>
      </c>
      <c r="D27">
        <v>0.68600000000000005</v>
      </c>
      <c r="E27">
        <v>0.77749999999999997</v>
      </c>
      <c r="F27">
        <v>0</v>
      </c>
    </row>
    <row r="28" spans="1:6" x14ac:dyDescent="0.2">
      <c r="A28">
        <v>27</v>
      </c>
      <c r="B28">
        <v>1</v>
      </c>
      <c r="C28">
        <v>0.47849999999999998</v>
      </c>
      <c r="D28">
        <v>0.68500000000000005</v>
      </c>
      <c r="E28">
        <v>0.80500000000000005</v>
      </c>
      <c r="F28">
        <v>0</v>
      </c>
    </row>
    <row r="29" spans="1:6" x14ac:dyDescent="0.2">
      <c r="A29">
        <v>28</v>
      </c>
      <c r="B29">
        <v>1</v>
      </c>
      <c r="C29">
        <v>0.56674999999999998</v>
      </c>
      <c r="D29">
        <v>0.76400000000000001</v>
      </c>
      <c r="E29">
        <v>0.83250000000000002</v>
      </c>
      <c r="F29">
        <v>0</v>
      </c>
    </row>
    <row r="30" spans="1:6" x14ac:dyDescent="0.2">
      <c r="A30">
        <v>29</v>
      </c>
      <c r="B30">
        <v>1</v>
      </c>
      <c r="C30">
        <v>0.65500000000000003</v>
      </c>
      <c r="D30">
        <v>0.84199999999999997</v>
      </c>
      <c r="E30">
        <v>0.86</v>
      </c>
      <c r="F30">
        <v>0</v>
      </c>
    </row>
    <row r="31" spans="1:6" x14ac:dyDescent="0.2">
      <c r="A31">
        <v>30</v>
      </c>
      <c r="B31">
        <v>1</v>
      </c>
      <c r="C31">
        <v>0.68025000000000002</v>
      </c>
      <c r="D31">
        <v>0.83</v>
      </c>
      <c r="E31">
        <v>0.89</v>
      </c>
      <c r="F31">
        <v>0</v>
      </c>
    </row>
    <row r="32" spans="1:6" x14ac:dyDescent="0.2">
      <c r="A32">
        <v>31</v>
      </c>
      <c r="B32">
        <v>1</v>
      </c>
      <c r="C32">
        <v>0.70550000000000002</v>
      </c>
      <c r="D32">
        <v>0.81799999999999995</v>
      </c>
      <c r="E32">
        <v>0.92</v>
      </c>
      <c r="F32">
        <v>0</v>
      </c>
    </row>
    <row r="33" spans="1:6" x14ac:dyDescent="0.2">
      <c r="A33">
        <v>32</v>
      </c>
      <c r="B33">
        <v>1</v>
      </c>
      <c r="C33">
        <v>0.73075000000000001</v>
      </c>
      <c r="D33">
        <v>0.84499999999999997</v>
      </c>
      <c r="E33">
        <v>0.95</v>
      </c>
      <c r="F33">
        <v>0</v>
      </c>
    </row>
    <row r="34" spans="1:6" x14ac:dyDescent="0.2">
      <c r="A34">
        <v>33</v>
      </c>
      <c r="B34">
        <v>1</v>
      </c>
      <c r="C34">
        <v>0.75600000000000001</v>
      </c>
      <c r="D34">
        <v>0.871</v>
      </c>
      <c r="E34">
        <v>0.98</v>
      </c>
      <c r="F34">
        <v>0</v>
      </c>
    </row>
    <row r="35" spans="1:6" x14ac:dyDescent="0.2">
      <c r="A35">
        <v>34</v>
      </c>
      <c r="B35">
        <v>1</v>
      </c>
      <c r="C35">
        <v>0.74350000000000005</v>
      </c>
      <c r="D35">
        <v>0.878</v>
      </c>
      <c r="E35">
        <v>0.97750000000000004</v>
      </c>
      <c r="F35">
        <v>4.9250000000000002E-2</v>
      </c>
    </row>
    <row r="36" spans="1:6" x14ac:dyDescent="0.2">
      <c r="A36">
        <v>35</v>
      </c>
      <c r="B36">
        <v>1</v>
      </c>
      <c r="C36">
        <v>0.73099999999999998</v>
      </c>
      <c r="D36">
        <v>0.88400000000000001</v>
      </c>
      <c r="E36">
        <v>0.97499999999999998</v>
      </c>
      <c r="F36">
        <v>9.8500000000000004E-2</v>
      </c>
    </row>
    <row r="37" spans="1:6" x14ac:dyDescent="0.2">
      <c r="A37">
        <v>36</v>
      </c>
      <c r="B37">
        <v>1</v>
      </c>
      <c r="C37">
        <v>0.71850000000000003</v>
      </c>
      <c r="D37">
        <v>0.86799999999999999</v>
      </c>
      <c r="E37">
        <v>0.97250000000000003</v>
      </c>
      <c r="F37">
        <v>0.14774999999999999</v>
      </c>
    </row>
    <row r="38" spans="1:6" x14ac:dyDescent="0.2">
      <c r="A38">
        <v>37</v>
      </c>
      <c r="B38">
        <v>1</v>
      </c>
      <c r="C38">
        <v>0.70599999999999996</v>
      </c>
      <c r="D38">
        <v>0.85099999999999998</v>
      </c>
      <c r="E38">
        <v>0.97</v>
      </c>
      <c r="F38">
        <v>0.19700000000000001</v>
      </c>
    </row>
    <row r="39" spans="1:6" x14ac:dyDescent="0.2">
      <c r="A39">
        <v>38</v>
      </c>
      <c r="B39">
        <v>1</v>
      </c>
      <c r="C39">
        <v>0.68825000000000003</v>
      </c>
      <c r="D39">
        <v>0.89800000000000002</v>
      </c>
      <c r="E39">
        <v>0.95750000000000002</v>
      </c>
      <c r="F39">
        <v>0.28899999999999998</v>
      </c>
    </row>
    <row r="40" spans="1:6" x14ac:dyDescent="0.2">
      <c r="A40">
        <v>39</v>
      </c>
      <c r="B40">
        <v>1</v>
      </c>
      <c r="C40">
        <v>0.67049999999999998</v>
      </c>
      <c r="D40">
        <v>0.94499999999999995</v>
      </c>
      <c r="E40">
        <v>0.94499999999999995</v>
      </c>
      <c r="F40">
        <v>0.38100000000000001</v>
      </c>
    </row>
    <row r="41" spans="1:6" x14ac:dyDescent="0.2">
      <c r="A41">
        <v>40</v>
      </c>
      <c r="B41">
        <v>1</v>
      </c>
      <c r="C41">
        <v>0.65275000000000005</v>
      </c>
      <c r="D41">
        <v>0.92200000000000004</v>
      </c>
      <c r="E41">
        <v>0.9325</v>
      </c>
      <c r="F41">
        <v>0.47299999999999998</v>
      </c>
    </row>
    <row r="42" spans="1:6" x14ac:dyDescent="0.2">
      <c r="A42">
        <v>41</v>
      </c>
      <c r="B42">
        <v>1</v>
      </c>
      <c r="C42">
        <v>0.63500000000000001</v>
      </c>
      <c r="D42">
        <v>0.89900000000000002</v>
      </c>
      <c r="E42">
        <v>0.92</v>
      </c>
      <c r="F42">
        <v>0.56499999999999995</v>
      </c>
    </row>
    <row r="43" spans="1:6" x14ac:dyDescent="0.2">
      <c r="A43">
        <v>42</v>
      </c>
      <c r="B43">
        <v>1</v>
      </c>
      <c r="C43">
        <v>0.62749999999999995</v>
      </c>
      <c r="D43">
        <v>0.89500000000000002</v>
      </c>
      <c r="E43">
        <v>0.89</v>
      </c>
      <c r="F43">
        <v>0.59250000000000003</v>
      </c>
    </row>
    <row r="44" spans="1:6" x14ac:dyDescent="0.2">
      <c r="A44">
        <v>43</v>
      </c>
      <c r="B44">
        <v>1</v>
      </c>
      <c r="C44">
        <v>0.62</v>
      </c>
      <c r="D44">
        <v>0.89</v>
      </c>
      <c r="E44">
        <v>0.86</v>
      </c>
      <c r="F44">
        <v>0.62</v>
      </c>
    </row>
    <row r="45" spans="1:6" x14ac:dyDescent="0.2">
      <c r="A45">
        <v>44</v>
      </c>
      <c r="B45">
        <v>1</v>
      </c>
      <c r="C45">
        <v>0.61250000000000004</v>
      </c>
      <c r="D45">
        <v>0.85499999999999998</v>
      </c>
      <c r="E45">
        <v>0.83</v>
      </c>
      <c r="F45">
        <v>0.64749999999999996</v>
      </c>
    </row>
    <row r="46" spans="1:6" x14ac:dyDescent="0.2">
      <c r="A46">
        <v>45</v>
      </c>
      <c r="B46">
        <v>1</v>
      </c>
      <c r="C46">
        <v>0.60499999999999998</v>
      </c>
      <c r="D46">
        <v>0.81899999999999995</v>
      </c>
      <c r="E46">
        <v>0.8</v>
      </c>
      <c r="F46">
        <v>0.67500000000000004</v>
      </c>
    </row>
    <row r="47" spans="1:6" x14ac:dyDescent="0.2">
      <c r="A47">
        <v>46</v>
      </c>
      <c r="B47">
        <v>1</v>
      </c>
      <c r="C47">
        <v>0.65024999999999999</v>
      </c>
      <c r="D47">
        <v>0.82099999999999995</v>
      </c>
      <c r="E47">
        <v>0.8075</v>
      </c>
      <c r="F47">
        <v>0.75600000000000001</v>
      </c>
    </row>
    <row r="48" spans="1:6" x14ac:dyDescent="0.2">
      <c r="A48">
        <v>47</v>
      </c>
      <c r="B48">
        <v>1</v>
      </c>
      <c r="C48">
        <v>0.69550000000000001</v>
      </c>
      <c r="D48">
        <v>0.82299999999999995</v>
      </c>
      <c r="E48">
        <v>0.81499999999999995</v>
      </c>
      <c r="F48">
        <v>0.83699999999999997</v>
      </c>
    </row>
    <row r="49" spans="1:6" x14ac:dyDescent="0.2">
      <c r="A49">
        <v>48</v>
      </c>
      <c r="B49">
        <v>1</v>
      </c>
      <c r="C49">
        <v>0.74075000000000002</v>
      </c>
      <c r="D49">
        <v>0.85499999999999998</v>
      </c>
      <c r="E49">
        <v>0.82250000000000001</v>
      </c>
      <c r="F49">
        <v>0.91800000000000004</v>
      </c>
    </row>
    <row r="50" spans="1:6" x14ac:dyDescent="0.2">
      <c r="A50">
        <v>49</v>
      </c>
      <c r="B50">
        <v>1</v>
      </c>
      <c r="C50">
        <v>0.78600000000000003</v>
      </c>
      <c r="D50">
        <v>0.88600000000000001</v>
      </c>
      <c r="E50">
        <v>0.83</v>
      </c>
      <c r="F50">
        <v>0.999</v>
      </c>
    </row>
    <row r="51" spans="1:6" x14ac:dyDescent="0.2">
      <c r="A51">
        <v>50</v>
      </c>
      <c r="B51">
        <v>1</v>
      </c>
      <c r="C51">
        <v>0.77100000000000002</v>
      </c>
      <c r="D51">
        <v>0.89500000000000002</v>
      </c>
      <c r="E51">
        <v>0.83499999999999996</v>
      </c>
      <c r="F51">
        <v>0.97650000000000003</v>
      </c>
    </row>
    <row r="52" spans="1:6" x14ac:dyDescent="0.2">
      <c r="A52">
        <v>51</v>
      </c>
      <c r="B52">
        <v>1</v>
      </c>
      <c r="C52">
        <v>0.75600000000000001</v>
      </c>
      <c r="D52">
        <v>0.90400000000000003</v>
      </c>
      <c r="E52">
        <v>0.84</v>
      </c>
      <c r="F52">
        <v>0.95399999999999996</v>
      </c>
    </row>
    <row r="53" spans="1:6" x14ac:dyDescent="0.2">
      <c r="A53">
        <v>52</v>
      </c>
      <c r="B53">
        <v>1</v>
      </c>
      <c r="C53">
        <v>0.74099999999999999</v>
      </c>
      <c r="D53">
        <v>0.94399999999999995</v>
      </c>
      <c r="E53">
        <v>0.84499999999999997</v>
      </c>
      <c r="F53">
        <v>0.93149999999999999</v>
      </c>
    </row>
    <row r="54" spans="1:6" x14ac:dyDescent="0.2">
      <c r="A54">
        <v>53</v>
      </c>
      <c r="B54">
        <v>1</v>
      </c>
      <c r="C54">
        <v>0.72599999999999998</v>
      </c>
      <c r="D54">
        <v>0.98399999999999999</v>
      </c>
      <c r="E54">
        <v>0.85</v>
      </c>
      <c r="F54">
        <v>0.90900000000000003</v>
      </c>
    </row>
    <row r="55" spans="1:6" x14ac:dyDescent="0.2">
      <c r="A55">
        <v>54</v>
      </c>
      <c r="B55">
        <v>1</v>
      </c>
      <c r="C55">
        <v>0.69074999999999998</v>
      </c>
      <c r="D55">
        <v>0.97599999999999998</v>
      </c>
      <c r="E55">
        <v>0.85499999999999998</v>
      </c>
      <c r="F55">
        <v>0.88100000000000001</v>
      </c>
    </row>
    <row r="56" spans="1:6" x14ac:dyDescent="0.2">
      <c r="A56">
        <v>55</v>
      </c>
      <c r="B56">
        <v>1</v>
      </c>
      <c r="C56">
        <v>0.65549999999999997</v>
      </c>
      <c r="D56">
        <v>0.96799999999999997</v>
      </c>
      <c r="E56">
        <v>0.86</v>
      </c>
      <c r="F56">
        <v>0.85299999999999998</v>
      </c>
    </row>
    <row r="57" spans="1:6" x14ac:dyDescent="0.2">
      <c r="A57">
        <v>56</v>
      </c>
      <c r="B57">
        <v>1</v>
      </c>
      <c r="C57">
        <v>0.62024999999999997</v>
      </c>
      <c r="D57">
        <v>0.95399999999999996</v>
      </c>
      <c r="E57">
        <v>0.86499999999999999</v>
      </c>
      <c r="F57">
        <v>0.82499999999999996</v>
      </c>
    </row>
    <row r="58" spans="1:6" x14ac:dyDescent="0.2">
      <c r="A58">
        <v>57</v>
      </c>
      <c r="B58">
        <v>1</v>
      </c>
      <c r="C58">
        <v>0.58499999999999996</v>
      </c>
      <c r="D58">
        <v>0.94</v>
      </c>
      <c r="E58">
        <v>0.87</v>
      </c>
      <c r="F58">
        <v>0.79700000000000004</v>
      </c>
    </row>
    <row r="59" spans="1:6" x14ac:dyDescent="0.2">
      <c r="A59">
        <v>58</v>
      </c>
      <c r="B59">
        <v>1</v>
      </c>
      <c r="C59">
        <v>0.56474999999999997</v>
      </c>
      <c r="D59">
        <v>0.95899999999999996</v>
      </c>
      <c r="E59">
        <v>0.87250000000000005</v>
      </c>
      <c r="F59">
        <v>0.71350000000000002</v>
      </c>
    </row>
    <row r="60" spans="1:6" x14ac:dyDescent="0.2">
      <c r="A60">
        <v>59</v>
      </c>
      <c r="B60">
        <v>1</v>
      </c>
      <c r="C60">
        <v>0.54449999999999998</v>
      </c>
      <c r="D60">
        <v>0.97699999999999998</v>
      </c>
      <c r="E60">
        <v>0.875</v>
      </c>
      <c r="F60">
        <v>0.63</v>
      </c>
    </row>
    <row r="61" spans="1:6" x14ac:dyDescent="0.2">
      <c r="A61">
        <v>60</v>
      </c>
      <c r="B61">
        <v>1</v>
      </c>
      <c r="C61">
        <v>0.52424999999999999</v>
      </c>
      <c r="D61">
        <v>0.98099999999999998</v>
      </c>
      <c r="E61">
        <v>0.87749999999999995</v>
      </c>
      <c r="F61">
        <v>0.54649999999999999</v>
      </c>
    </row>
    <row r="62" spans="1:6" x14ac:dyDescent="0.2">
      <c r="A62">
        <v>61</v>
      </c>
      <c r="B62">
        <v>1</v>
      </c>
      <c r="C62">
        <v>0.504</v>
      </c>
      <c r="D62">
        <v>0.98399999999999999</v>
      </c>
      <c r="E62">
        <v>0.88</v>
      </c>
      <c r="F62">
        <v>0.46300000000000002</v>
      </c>
    </row>
    <row r="63" spans="1:6" x14ac:dyDescent="0.2">
      <c r="A63">
        <v>62</v>
      </c>
      <c r="B63">
        <v>1</v>
      </c>
      <c r="C63">
        <v>0.49149999999999999</v>
      </c>
      <c r="D63">
        <v>0.98299999999999998</v>
      </c>
      <c r="E63">
        <v>0.84750000000000003</v>
      </c>
      <c r="F63">
        <v>0.38900000000000001</v>
      </c>
    </row>
    <row r="64" spans="1:6" x14ac:dyDescent="0.2">
      <c r="A64">
        <v>63</v>
      </c>
      <c r="B64">
        <v>1</v>
      </c>
      <c r="C64">
        <v>0.47899999999999998</v>
      </c>
      <c r="D64">
        <v>0.98199999999999998</v>
      </c>
      <c r="E64">
        <v>0.81499999999999995</v>
      </c>
      <c r="F64">
        <v>0.315</v>
      </c>
    </row>
    <row r="65" spans="1:6" x14ac:dyDescent="0.2">
      <c r="A65">
        <v>64</v>
      </c>
      <c r="B65">
        <v>1</v>
      </c>
      <c r="C65">
        <v>0.46650000000000003</v>
      </c>
      <c r="D65">
        <v>0.91700000000000004</v>
      </c>
      <c r="E65">
        <v>0.78249999999999997</v>
      </c>
      <c r="F65">
        <v>0.24099999999999999</v>
      </c>
    </row>
    <row r="66" spans="1:6" x14ac:dyDescent="0.2">
      <c r="A66">
        <v>65</v>
      </c>
      <c r="B66">
        <v>1</v>
      </c>
      <c r="C66">
        <v>0.45400000000000001</v>
      </c>
      <c r="D66">
        <v>0.85099999999999998</v>
      </c>
      <c r="E66">
        <v>0.75</v>
      </c>
      <c r="F66">
        <v>0.16700000000000001</v>
      </c>
    </row>
    <row r="67" spans="1:6" x14ac:dyDescent="0.2">
      <c r="A67">
        <v>66</v>
      </c>
      <c r="B67">
        <v>1</v>
      </c>
      <c r="C67">
        <v>0.51700000000000002</v>
      </c>
      <c r="D67">
        <v>0.85799999999999998</v>
      </c>
      <c r="E67">
        <v>0.6875</v>
      </c>
      <c r="F67">
        <v>0.12525</v>
      </c>
    </row>
    <row r="68" spans="1:6" x14ac:dyDescent="0.2">
      <c r="A68">
        <v>67</v>
      </c>
      <c r="B68">
        <v>1</v>
      </c>
      <c r="C68">
        <v>0.57999999999999996</v>
      </c>
      <c r="D68">
        <v>0.86499999999999999</v>
      </c>
      <c r="E68">
        <v>0.625</v>
      </c>
      <c r="F68">
        <v>8.3500000000000005E-2</v>
      </c>
    </row>
    <row r="69" spans="1:6" x14ac:dyDescent="0.2">
      <c r="A69">
        <v>68</v>
      </c>
      <c r="B69">
        <v>1</v>
      </c>
      <c r="C69">
        <v>0.64300000000000002</v>
      </c>
      <c r="D69">
        <v>0.83499999999999996</v>
      </c>
      <c r="E69">
        <v>0.5625</v>
      </c>
      <c r="F69">
        <v>4.1750000000000002E-2</v>
      </c>
    </row>
    <row r="70" spans="1:6" x14ac:dyDescent="0.2">
      <c r="A70">
        <v>69</v>
      </c>
      <c r="B70">
        <v>1</v>
      </c>
      <c r="C70">
        <v>0.70599999999999996</v>
      </c>
      <c r="D70">
        <v>0.80500000000000005</v>
      </c>
      <c r="E70">
        <v>0.5</v>
      </c>
      <c r="F70">
        <v>0</v>
      </c>
    </row>
    <row r="71" spans="1:6" x14ac:dyDescent="0.2">
      <c r="A71">
        <v>70</v>
      </c>
      <c r="B71">
        <v>1</v>
      </c>
      <c r="C71">
        <v>0.74375000000000002</v>
      </c>
      <c r="D71">
        <v>0.81499999999999995</v>
      </c>
      <c r="E71">
        <v>0.48749999999999999</v>
      </c>
      <c r="F71">
        <v>0</v>
      </c>
    </row>
    <row r="72" spans="1:6" x14ac:dyDescent="0.2">
      <c r="A72">
        <v>71</v>
      </c>
      <c r="B72">
        <v>1</v>
      </c>
      <c r="C72">
        <v>0.78149999999999997</v>
      </c>
      <c r="D72">
        <v>0.82399999999999995</v>
      </c>
      <c r="E72">
        <v>0.47499999999999998</v>
      </c>
      <c r="F72">
        <v>0</v>
      </c>
    </row>
    <row r="73" spans="1:6" x14ac:dyDescent="0.2">
      <c r="A73">
        <v>72</v>
      </c>
      <c r="B73">
        <v>1</v>
      </c>
      <c r="C73">
        <v>0.81925000000000003</v>
      </c>
      <c r="D73">
        <v>0.78500000000000003</v>
      </c>
      <c r="E73">
        <v>0.46250000000000002</v>
      </c>
      <c r="F73">
        <v>0</v>
      </c>
    </row>
    <row r="74" spans="1:6" x14ac:dyDescent="0.2">
      <c r="A74">
        <v>73</v>
      </c>
      <c r="B74">
        <v>1</v>
      </c>
      <c r="C74">
        <v>0.85699999999999998</v>
      </c>
      <c r="D74">
        <v>0.745</v>
      </c>
      <c r="E74">
        <v>0.45</v>
      </c>
      <c r="F74">
        <v>0</v>
      </c>
    </row>
    <row r="75" spans="1:6" x14ac:dyDescent="0.2">
      <c r="A75">
        <v>74</v>
      </c>
      <c r="B75">
        <v>1</v>
      </c>
      <c r="C75">
        <v>0.86950000000000005</v>
      </c>
      <c r="D75">
        <v>0.76400000000000001</v>
      </c>
      <c r="E75">
        <v>0.45</v>
      </c>
      <c r="F75">
        <v>0</v>
      </c>
    </row>
    <row r="76" spans="1:6" x14ac:dyDescent="0.2">
      <c r="A76">
        <v>75</v>
      </c>
      <c r="B76">
        <v>1</v>
      </c>
      <c r="C76">
        <v>0.88200000000000001</v>
      </c>
      <c r="D76">
        <v>0.78200000000000003</v>
      </c>
      <c r="E76">
        <v>0.45</v>
      </c>
      <c r="F76">
        <v>0</v>
      </c>
    </row>
    <row r="77" spans="1:6" x14ac:dyDescent="0.2">
      <c r="A77">
        <v>76</v>
      </c>
      <c r="B77">
        <v>1</v>
      </c>
      <c r="C77">
        <v>0.89449999999999996</v>
      </c>
      <c r="D77">
        <v>0.73299999999999998</v>
      </c>
      <c r="E77">
        <v>0.45</v>
      </c>
      <c r="F77">
        <v>0</v>
      </c>
    </row>
    <row r="78" spans="1:6" x14ac:dyDescent="0.2">
      <c r="A78">
        <v>77</v>
      </c>
      <c r="B78">
        <v>1</v>
      </c>
      <c r="C78">
        <v>0.90700000000000003</v>
      </c>
      <c r="D78">
        <v>0.68400000000000005</v>
      </c>
      <c r="E78">
        <v>0.45</v>
      </c>
      <c r="F78">
        <v>0</v>
      </c>
    </row>
    <row r="79" spans="1:6" x14ac:dyDescent="0.2">
      <c r="A79">
        <v>78</v>
      </c>
      <c r="B79">
        <v>1</v>
      </c>
      <c r="C79">
        <v>0.88700000000000001</v>
      </c>
      <c r="D79">
        <v>0.65700000000000003</v>
      </c>
      <c r="E79">
        <v>0.4375</v>
      </c>
      <c r="F79">
        <v>0</v>
      </c>
    </row>
    <row r="80" spans="1:6" x14ac:dyDescent="0.2">
      <c r="A80">
        <v>79</v>
      </c>
      <c r="B80">
        <v>1</v>
      </c>
      <c r="C80">
        <v>0.86699999999999999</v>
      </c>
      <c r="D80">
        <v>0.63</v>
      </c>
      <c r="E80">
        <v>0.42499999999999999</v>
      </c>
      <c r="F80">
        <v>0</v>
      </c>
    </row>
    <row r="81" spans="1:6" x14ac:dyDescent="0.2">
      <c r="A81">
        <v>80</v>
      </c>
      <c r="B81">
        <v>1</v>
      </c>
      <c r="C81">
        <v>0.84699999999999998</v>
      </c>
      <c r="D81">
        <v>0.64300000000000002</v>
      </c>
      <c r="E81">
        <v>0.41249999999999998</v>
      </c>
      <c r="F81">
        <v>0</v>
      </c>
    </row>
    <row r="82" spans="1:6" x14ac:dyDescent="0.2">
      <c r="A82">
        <v>81</v>
      </c>
      <c r="B82">
        <v>1</v>
      </c>
      <c r="C82">
        <v>0.82699999999999996</v>
      </c>
      <c r="D82">
        <v>0.65500000000000003</v>
      </c>
      <c r="E82">
        <v>0.4</v>
      </c>
      <c r="F82">
        <v>0</v>
      </c>
    </row>
    <row r="83" spans="1:6" x14ac:dyDescent="0.2">
      <c r="A83">
        <v>82</v>
      </c>
      <c r="B83">
        <v>1</v>
      </c>
      <c r="C83">
        <v>0.80925000000000002</v>
      </c>
      <c r="D83">
        <v>0.68500000000000005</v>
      </c>
      <c r="E83">
        <v>0.4</v>
      </c>
      <c r="F83">
        <v>0</v>
      </c>
    </row>
    <row r="84" spans="1:6" x14ac:dyDescent="0.2">
      <c r="A84">
        <v>83</v>
      </c>
      <c r="B84">
        <v>1</v>
      </c>
      <c r="C84">
        <v>0.79149999999999998</v>
      </c>
      <c r="D84">
        <v>0.71399999999999997</v>
      </c>
      <c r="E84">
        <v>0.4</v>
      </c>
      <c r="F84">
        <v>0</v>
      </c>
    </row>
    <row r="85" spans="1:6" x14ac:dyDescent="0.2">
      <c r="A85">
        <v>84</v>
      </c>
      <c r="B85">
        <v>1</v>
      </c>
      <c r="C85">
        <v>0.77375000000000005</v>
      </c>
      <c r="D85">
        <v>0.71799999999999997</v>
      </c>
      <c r="E85">
        <v>0.4</v>
      </c>
      <c r="F85">
        <v>0</v>
      </c>
    </row>
    <row r="86" spans="1:6" x14ac:dyDescent="0.2">
      <c r="A86">
        <v>85</v>
      </c>
      <c r="B86">
        <v>1</v>
      </c>
      <c r="C86">
        <v>0.75600000000000001</v>
      </c>
      <c r="D86">
        <v>0.72099999999999997</v>
      </c>
      <c r="E86">
        <v>0.4</v>
      </c>
      <c r="F86">
        <v>0</v>
      </c>
    </row>
    <row r="87" spans="1:6" x14ac:dyDescent="0.2">
      <c r="A87">
        <v>86</v>
      </c>
      <c r="B87">
        <v>1</v>
      </c>
      <c r="C87">
        <v>0.74350000000000005</v>
      </c>
      <c r="D87">
        <v>0.71699999999999997</v>
      </c>
      <c r="E87">
        <v>0.39500000000000002</v>
      </c>
      <c r="F87">
        <v>0</v>
      </c>
    </row>
    <row r="88" spans="1:6" x14ac:dyDescent="0.2">
      <c r="A88">
        <v>87</v>
      </c>
      <c r="B88">
        <v>1</v>
      </c>
      <c r="C88">
        <v>0.73099999999999998</v>
      </c>
      <c r="D88">
        <v>0.71199999999999997</v>
      </c>
      <c r="E88">
        <v>0.39</v>
      </c>
      <c r="F88">
        <v>0</v>
      </c>
    </row>
    <row r="89" spans="1:6" x14ac:dyDescent="0.2">
      <c r="A89">
        <v>88</v>
      </c>
      <c r="B89">
        <v>1</v>
      </c>
      <c r="C89">
        <v>0.71850000000000003</v>
      </c>
      <c r="D89">
        <v>0.67</v>
      </c>
      <c r="E89">
        <v>0.38500000000000001</v>
      </c>
      <c r="F89">
        <v>0</v>
      </c>
    </row>
    <row r="90" spans="1:6" x14ac:dyDescent="0.2">
      <c r="A90">
        <v>89</v>
      </c>
      <c r="B90">
        <v>1</v>
      </c>
      <c r="C90">
        <v>0.70599999999999996</v>
      </c>
      <c r="D90">
        <v>0.628</v>
      </c>
      <c r="E90">
        <v>0.38</v>
      </c>
      <c r="F90">
        <v>0</v>
      </c>
    </row>
    <row r="91" spans="1:6" x14ac:dyDescent="0.2">
      <c r="A91">
        <v>90</v>
      </c>
      <c r="B91">
        <v>1</v>
      </c>
      <c r="C91">
        <v>0.64300000000000002</v>
      </c>
      <c r="D91">
        <v>0.66800000000000004</v>
      </c>
      <c r="E91">
        <v>0.375</v>
      </c>
      <c r="F91">
        <v>0</v>
      </c>
    </row>
    <row r="92" spans="1:6" x14ac:dyDescent="0.2">
      <c r="A92">
        <v>91</v>
      </c>
      <c r="B92">
        <v>1</v>
      </c>
      <c r="C92">
        <v>0.57999999999999996</v>
      </c>
      <c r="D92">
        <v>0.70699999999999996</v>
      </c>
      <c r="E92">
        <v>0.37</v>
      </c>
      <c r="F92">
        <v>0</v>
      </c>
    </row>
    <row r="93" spans="1:6" x14ac:dyDescent="0.2">
      <c r="A93">
        <v>92</v>
      </c>
      <c r="B93">
        <v>1</v>
      </c>
      <c r="C93">
        <v>0.51700000000000002</v>
      </c>
      <c r="D93">
        <v>0.63200000000000001</v>
      </c>
      <c r="E93">
        <v>0.36499999999999999</v>
      </c>
      <c r="F93">
        <v>0</v>
      </c>
    </row>
    <row r="94" spans="1:6" x14ac:dyDescent="0.2">
      <c r="A94">
        <v>93</v>
      </c>
      <c r="B94">
        <v>1</v>
      </c>
      <c r="C94">
        <v>0.45400000000000001</v>
      </c>
      <c r="D94">
        <v>0.55600000000000005</v>
      </c>
      <c r="E94">
        <v>0.36</v>
      </c>
      <c r="F94">
        <v>0</v>
      </c>
    </row>
    <row r="95" spans="1:6" x14ac:dyDescent="0.2">
      <c r="A95">
        <v>94</v>
      </c>
      <c r="B95">
        <v>1</v>
      </c>
      <c r="C95">
        <v>0.40350000000000003</v>
      </c>
      <c r="D95">
        <v>0.52900000000000003</v>
      </c>
      <c r="E95">
        <v>0.35749999999999998</v>
      </c>
      <c r="F95">
        <v>0</v>
      </c>
    </row>
    <row r="96" spans="1:6" x14ac:dyDescent="0.2">
      <c r="A96">
        <v>95</v>
      </c>
      <c r="B96">
        <v>1</v>
      </c>
      <c r="C96">
        <v>0.35299999999999998</v>
      </c>
      <c r="D96">
        <v>0.501</v>
      </c>
      <c r="E96">
        <v>0.35499999999999998</v>
      </c>
      <c r="F96">
        <v>0</v>
      </c>
    </row>
    <row r="97" spans="1:6" x14ac:dyDescent="0.2">
      <c r="A97">
        <v>96</v>
      </c>
      <c r="B97">
        <v>1</v>
      </c>
      <c r="C97">
        <v>0.30249999999999999</v>
      </c>
      <c r="D97">
        <v>0.43099999999999999</v>
      </c>
      <c r="E97">
        <v>0.35249999999999998</v>
      </c>
      <c r="F97">
        <v>0</v>
      </c>
    </row>
    <row r="98" spans="1:6" x14ac:dyDescent="0.2">
      <c r="A98">
        <v>97</v>
      </c>
      <c r="B98">
        <v>1</v>
      </c>
      <c r="C98">
        <v>0.252</v>
      </c>
      <c r="D98">
        <v>0.36099999999999999</v>
      </c>
      <c r="E98">
        <v>0.35</v>
      </c>
      <c r="F98">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FD1E95CFDA8ED8488D3FD49E67BEB0FF" ma:contentTypeVersion="12" ma:contentTypeDescription="Creare un nuovo documento." ma:contentTypeScope="" ma:versionID="dcc9b1604aa2cb27f8705238ab9b9e74">
  <xsd:schema xmlns:xsd="http://www.w3.org/2001/XMLSchema" xmlns:xs="http://www.w3.org/2001/XMLSchema" xmlns:p="http://schemas.microsoft.com/office/2006/metadata/properties" xmlns:ns3="6134b4a6-a80e-4fb1-bb45-1b3d8322f153" xmlns:ns4="2e5f6473-bf24-4d8e-bd6a-01b44451650f" targetNamespace="http://schemas.microsoft.com/office/2006/metadata/properties" ma:root="true" ma:fieldsID="febefcec1f8162a055151690dd865f30" ns3:_="" ns4:_="">
    <xsd:import namespace="6134b4a6-a80e-4fb1-bb45-1b3d8322f153"/>
    <xsd:import namespace="2e5f6473-bf24-4d8e-bd6a-01b44451650f"/>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KeyPoints" minOccurs="0"/>
                <xsd:element ref="ns3:MediaServiceKeyPoints" minOccurs="0"/>
                <xsd:element ref="ns3:MediaServiceAutoTags" minOccurs="0"/>
                <xsd:element ref="ns3:MediaServiceGenerationTime" minOccurs="0"/>
                <xsd:element ref="ns3:MediaServiceEventHashCode" minOccurs="0"/>
                <xsd:element ref="ns3:MediaServiceDateTaken"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134b4a6-a80e-4fb1-bb45-1b3d8322f153"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e5f6473-bf24-4d8e-bd6a-01b44451650f" elementFormDefault="qualified">
    <xsd:import namespace="http://schemas.microsoft.com/office/2006/documentManagement/types"/>
    <xsd:import namespace="http://schemas.microsoft.com/office/infopath/2007/PartnerControls"/>
    <xsd:element name="SharedWithUsers" ma:index="10" nillable="true" ma:displayName="Condivis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Condiviso con dettagli" ma:internalName="SharedWithDetails" ma:readOnly="true">
      <xsd:simpleType>
        <xsd:restriction base="dms:Note">
          <xsd:maxLength value="255"/>
        </xsd:restriction>
      </xsd:simpleType>
    </xsd:element>
    <xsd:element name="SharingHintHash" ma:index="12" nillable="true" ma:displayName="Hash suggerimento condivisione"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0A3392C-7618-40FB-AD7D-792A24825CC4}">
  <ds:schemaRefs>
    <ds:schemaRef ds:uri="http://schemas.microsoft.com/sharepoint/v3/contenttype/forms"/>
  </ds:schemaRefs>
</ds:datastoreItem>
</file>

<file path=customXml/itemProps2.xml><?xml version="1.0" encoding="utf-8"?>
<ds:datastoreItem xmlns:ds="http://schemas.openxmlformats.org/officeDocument/2006/customXml" ds:itemID="{F6ABAA59-47A0-40F5-8F5B-7BBC889B1F59}">
  <ds:schemaRefs>
    <ds:schemaRef ds:uri="http://purl.org/dc/dcmitype/"/>
    <ds:schemaRef ds:uri="http://schemas.microsoft.com/office/infopath/2007/PartnerControls"/>
    <ds:schemaRef ds:uri="http://schemas.microsoft.com/office/2006/documentManagement/types"/>
    <ds:schemaRef ds:uri="http://schemas.openxmlformats.org/package/2006/metadata/core-properties"/>
    <ds:schemaRef ds:uri="2e5f6473-bf24-4d8e-bd6a-01b44451650f"/>
    <ds:schemaRef ds:uri="http://schemas.microsoft.com/office/2006/metadata/properties"/>
    <ds:schemaRef ds:uri="http://www.w3.org/XML/1998/namespace"/>
    <ds:schemaRef ds:uri="http://purl.org/dc/elements/1.1/"/>
    <ds:schemaRef ds:uri="6134b4a6-a80e-4fb1-bb45-1b3d8322f153"/>
    <ds:schemaRef ds:uri="http://purl.org/dc/terms/"/>
  </ds:schemaRefs>
</ds:datastoreItem>
</file>

<file path=customXml/itemProps3.xml><?xml version="1.0" encoding="utf-8"?>
<ds:datastoreItem xmlns:ds="http://schemas.openxmlformats.org/officeDocument/2006/customXml" ds:itemID="{E42E798D-EFAF-4D5B-9232-D74EAE62F05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134b4a6-a80e-4fb1-bb45-1b3d8322f153"/>
    <ds:schemaRef ds:uri="2e5f6473-bf24-4d8e-bd6a-01b44451650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Fogli di lavoro</vt:lpstr>
      </vt:variant>
      <vt:variant>
        <vt:i4>14</vt:i4>
      </vt:variant>
      <vt:variant>
        <vt:lpstr>Intervalli denominati</vt:lpstr>
      </vt:variant>
      <vt:variant>
        <vt:i4>10</vt:i4>
      </vt:variant>
    </vt:vector>
  </HeadingPairs>
  <TitlesOfParts>
    <vt:vector size="24" baseType="lpstr">
      <vt:lpstr>Glossary</vt:lpstr>
      <vt:lpstr>General_data</vt:lpstr>
      <vt:lpstr>Buses</vt:lpstr>
      <vt:lpstr>Wiredata</vt:lpstr>
      <vt:lpstr>Configurations</vt:lpstr>
      <vt:lpstr>Configurations_mat</vt:lpstr>
      <vt:lpstr>Cfg_sq</vt:lpstr>
      <vt:lpstr>Lines</vt:lpstr>
      <vt:lpstr>3phTransformers</vt:lpstr>
      <vt:lpstr>1phTransformers</vt:lpstr>
      <vt:lpstr>Loads</vt:lpstr>
      <vt:lpstr>Generators</vt:lpstr>
      <vt:lpstr>P_Profiles</vt:lpstr>
      <vt:lpstr>Q_Profiles</vt:lpstr>
      <vt:lpstr>Lines!CIGRE_LV_branches_1</vt:lpstr>
      <vt:lpstr>Buses!CIGRE_LV_buses_1</vt:lpstr>
      <vt:lpstr>Wiredata!CIGRE_LV_wiredata_1</vt:lpstr>
      <vt:lpstr>Wiredata!CIGRE_LV_wiredata_1_1</vt:lpstr>
      <vt:lpstr>Configurations!UG1_2</vt:lpstr>
      <vt:lpstr>Configurations!UG2_2</vt:lpstr>
      <vt:lpstr>Configurations!UG3_2</vt:lpstr>
      <vt:lpstr>Configurations!UG4_2</vt:lpstr>
      <vt:lpstr>Configurations!UG5_2</vt:lpstr>
      <vt:lpstr>Configurations!UG6_2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Coppo Massimiliano</dc:creator>
  <cp:lastModifiedBy>Microsoft Office User</cp:lastModifiedBy>
  <dcterms:created xsi:type="dcterms:W3CDTF">2020-06-18T10:13:13Z</dcterms:created>
  <dcterms:modified xsi:type="dcterms:W3CDTF">2023-04-05T15:09:15Z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0x010100FD1E95CFDA8ED8488D3FD49E67BEB0FF</vt:lpwstr>
  </property>
</Properties>
</file>