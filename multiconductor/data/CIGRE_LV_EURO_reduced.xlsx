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2"/>
  <workbookPr/>
  <mc:AlternateContent xmlns:mc="http://schemas.openxmlformats.org/markup-compatibility/2006">
    <mc:Choice Requires="x15">
      <x15ac:absPath xmlns:x15ac="http://schemas.microsoft.com/office/spreadsheetml/2010/11/ac" url="/Users/a471270/Documents/ELDAR/multiconduttore/pronto-develop/multiconductor/data/"/>
    </mc:Choice>
  </mc:AlternateContent>
  <xr:revisionPtr revIDLastSave="0" documentId="13_ncr:1_{3D7457A4-169C-5041-AD65-D722EDDF104C}" xr6:coauthVersionLast="47" xr6:coauthVersionMax="47" xr10:uidLastSave="{00000000-0000-0000-0000-000000000000}"/>
  <bookViews>
    <workbookView xWindow="18020" yWindow="1960" windowWidth="16480" windowHeight="15080" tabRatio="759" firstSheet="3" activeTab="7" xr2:uid="{00000000-000D-0000-FFFF-FFFF00000000}"/>
  </bookViews>
  <sheets>
    <sheet name="parameters" sheetId="15" r:id="rId1"/>
    <sheet name="wire_std_types" sheetId="3" r:id="rId2"/>
    <sheet name="configuration_std_types" sheetId="4" r:id="rId3"/>
    <sheet name="sequence_std_types" sheetId="13" r:id="rId4"/>
    <sheet name="bus" sheetId="2" r:id="rId5"/>
    <sheet name="line" sheetId="5" r:id="rId6"/>
    <sheet name="asymmetric_load" sheetId="7" r:id="rId7"/>
    <sheet name="asymmetric_gen" sheetId="8" r:id="rId8"/>
  </sheets>
  <definedNames>
    <definedName name="_xlnm._FilterDatabase" localSheetId="6" hidden="1">asymmetric_load!$C$1:$O$17</definedName>
    <definedName name="CIGRE_LV_buses_1" localSheetId="4">bus!$A$2:$C$14</definedName>
    <definedName name="CIGRE_LV_wiredata_1_1" localSheetId="1">wire_std_types!$A$2:$F$8</definedName>
    <definedName name="UG2_2" localSheetId="2">configuration_std_types!$B$6:$E$9</definedName>
    <definedName name="UG3_2" localSheetId="2">configuration_std_types!$B$10:$E$13</definedName>
    <definedName name="UG4_2" localSheetId="2">configuration_std_types!$B$14:$E$17</definedName>
    <definedName name="UG5_2" localSheetId="2">configuration_std_types!$B$18:$E$21</definedName>
    <definedName name="UG6_2" localSheetId="2">configuration_std_types!$B$22:$E$25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8" l="1"/>
  <c r="B6" i="8"/>
  <c r="B7" i="8"/>
  <c r="B8" i="8"/>
  <c r="B9" i="8"/>
  <c r="B10" i="8"/>
  <c r="B11" i="8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2" i="7"/>
  <c r="B3" i="8"/>
  <c r="B4" i="8"/>
  <c r="B2" i="8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3000000}" name="CIGRE_LV_buses1" type="6" refreshedVersion="6" background="1" saveData="1">
    <textPr fileType="dos" firstRow="2" sourceFile="Z:\Progetto\Manual\csv rete\CIGRE_LV_buses.csv" thousands="'" comma="1">
      <textFields count="3">
        <textField/>
        <textField/>
        <textField/>
      </textFields>
    </textPr>
  </connection>
  <connection id="2" xr16:uid="{00000000-0015-0000-FFFF-FFFF07000000}" name="CIGRE_LV_wiredata1" type="6" refreshedVersion="6" background="1" saveData="1">
    <textPr codePage="850" firstRow="2" sourceFile="Z:\Progetto\Manual\csv rete\CIGRE_LV_wiredata.csv" thousands="'" comma="1">
      <textFields count="6">
        <textField/>
        <textField/>
        <textField/>
        <textField/>
        <textField/>
        <textField/>
      </textFields>
    </textPr>
  </connection>
  <connection id="3" xr16:uid="{00000000-0015-0000-FFFF-FFFF0A000000}" name="UG2" type="6" refreshedVersion="6" background="1" saveData="1">
    <textPr codePage="850" sourceFile="Z:\Progetto\Manual\csv rete\UG2.csv" decimal="," thousands="." comma="1">
      <textFields count="4">
        <textField/>
        <textField/>
        <textField/>
        <textField/>
      </textFields>
    </textPr>
  </connection>
  <connection id="4" xr16:uid="{00000000-0015-0000-FFFF-FFFF0B000000}" name="UG3" type="6" refreshedVersion="6" background="1" saveData="1">
    <textPr codePage="850" sourceFile="Z:\Progetto\Manual\csv rete\UG3.csv" decimal="," thousands="." comma="1">
      <textFields count="4">
        <textField/>
        <textField/>
        <textField/>
        <textField/>
      </textFields>
    </textPr>
  </connection>
  <connection id="5" xr16:uid="{00000000-0015-0000-FFFF-FFFF0C000000}" name="UG4" type="6" refreshedVersion="6" background="1" saveData="1">
    <textPr codePage="850" sourceFile="Z:\Progetto\Manual\csv rete\UG4.csv" decimal="," thousands="." comma="1">
      <textFields count="4">
        <textField/>
        <textField/>
        <textField/>
        <textField/>
      </textFields>
    </textPr>
  </connection>
  <connection id="6" xr16:uid="{00000000-0015-0000-FFFF-FFFF0D000000}" name="UG5" type="6" refreshedVersion="6" background="1" saveData="1">
    <textPr codePage="850" sourceFile="Z:\Progetto\Manual\csv rete\UG5.csv" decimal="," thousands="." comma="1">
      <textFields count="4">
        <textField/>
        <textField/>
        <textField/>
        <textField/>
      </textFields>
    </textPr>
  </connection>
  <connection id="7" xr16:uid="{00000000-0015-0000-FFFF-FFFF0E000000}" name="UG6" type="6" refreshedVersion="6" background="1" saveData="1">
    <textPr codePage="850" sourceFile="Z:\Progetto\Manual\csv rete\UG6.csv" decimal="," thousands=".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<sst xmlns="http://schemas.openxmlformats.org/spreadsheetml/2006/main" count="150" uniqueCount="60">
  <si>
    <t>type</t>
  </si>
  <si>
    <t>r_ohm_per_km</t>
  </si>
  <si>
    <t>x_ohm_per_km</t>
  </si>
  <si>
    <t>r0_ohm_per_km</t>
  </si>
  <si>
    <t>x0_ohm_per_km</t>
  </si>
  <si>
    <t>c_nf_per_km</t>
  </si>
  <si>
    <t>c0_nf_per_km</t>
  </si>
  <si>
    <t>max_i_ka</t>
  </si>
  <si>
    <t>vn_kv</t>
  </si>
  <si>
    <t>earth_r_ohm</t>
  </si>
  <si>
    <t>name</t>
  </si>
  <si>
    <t>wire_n</t>
  </si>
  <si>
    <t>diam_m</t>
  </si>
  <si>
    <t>gmr</t>
  </si>
  <si>
    <t>rc_ohm</t>
  </si>
  <si>
    <t>g_s</t>
  </si>
  <si>
    <t>phase</t>
  </si>
  <si>
    <t>x_m</t>
  </si>
  <si>
    <t>y_m</t>
  </si>
  <si>
    <t>from_bus</t>
  </si>
  <si>
    <t>to_bus</t>
  </si>
  <si>
    <t>std_type</t>
  </si>
  <si>
    <t>length_km</t>
  </si>
  <si>
    <t>sn_mva</t>
  </si>
  <si>
    <t>bus</t>
  </si>
  <si>
    <t>cost</t>
  </si>
  <si>
    <t>q_mvar</t>
  </si>
  <si>
    <t>p_mw</t>
  </si>
  <si>
    <t>time_step</t>
  </si>
  <si>
    <t>end_date</t>
  </si>
  <si>
    <t>end_time</t>
  </si>
  <si>
    <t>start_date</t>
  </si>
  <si>
    <t>start_time</t>
  </si>
  <si>
    <t>rho_ohmm</t>
  </si>
  <si>
    <t>tol_vmag_pu</t>
  </si>
  <si>
    <t>tol_vang_rad</t>
  </si>
  <si>
    <t>max_iter</t>
  </si>
  <si>
    <t>f_hz</t>
  </si>
  <si>
    <t>index</t>
  </si>
  <si>
    <t>scaling</t>
  </si>
  <si>
    <t>in_service</t>
  </si>
  <si>
    <t>from_phase</t>
  </si>
  <si>
    <t>to_phase</t>
  </si>
  <si>
    <t>vm_pu</t>
  </si>
  <si>
    <t>slack</t>
  </si>
  <si>
    <t>const_z_percent_p</t>
  </si>
  <si>
    <t>const_i_percent_p</t>
  </si>
  <si>
    <t>const_z_percent_q</t>
  </si>
  <si>
    <t>const_i_percent_q</t>
  </si>
  <si>
    <t>ol</t>
  </si>
  <si>
    <t>configuration</t>
  </si>
  <si>
    <t>bus_n</t>
  </si>
  <si>
    <t>phase_n</t>
  </si>
  <si>
    <t>x</t>
  </si>
  <si>
    <t>y</t>
  </si>
  <si>
    <t>gr_ph_n</t>
  </si>
  <si>
    <t>res</t>
  </si>
  <si>
    <t>ind</t>
  </si>
  <si>
    <t>com</t>
  </si>
  <si>
    <t>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</si>
</sst>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Courier New"/>
      <family val="3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justify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1" fontId="0" fillId="0" borderId="0" xfId="0" applyNumberFormat="1"/>
    <xf numFmtId="0" fontId="4" fillId="0" borderId="0" xfId="0" applyFont="1"/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" fontId="5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IGRE_LV_wiredata_1_1" connectionId="2" xr16:uid="{8E5A9C40-951C-B147-9C87-7A4FB6D3E6F8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G2_2" connectionId="3" xr16:uid="{53C2630E-AC8E-814F-9758-933368F4DF75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G6_2" connectionId="7" xr16:uid="{F2CA970C-6FF7-E147-99D0-66FDF3302EC6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G5_2" connectionId="6" xr16:uid="{06983DDB-F479-F94A-939B-34AA61FCED88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G4_2" connectionId="5" xr16:uid="{A1945F5A-224D-2943-B67F-929ADF9F57CC}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G3_2" connectionId="4" xr16:uid="{7608155D-40CF-6F48-AFA5-574558C8FCDB}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IGRE_LV_buses_1" connectionId="1" xr16:uid="{D27F98F2-CE5C-8941-9BCA-12BB2102C7C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4.xml"/><Relationship Id="rId2" Type="http://schemas.openxmlformats.org/officeDocument/2006/relationships/queryTable" Target="../queryTables/queryTable3.xml"/><Relationship Id="rId1" Type="http://schemas.openxmlformats.org/officeDocument/2006/relationships/queryTable" Target="../queryTables/queryTable2.xml"/><Relationship Id="rId5" Type="http://schemas.openxmlformats.org/officeDocument/2006/relationships/queryTable" Target="../queryTables/queryTable6.xml"/><Relationship Id="rId4" Type="http://schemas.openxmlformats.org/officeDocument/2006/relationships/queryTable" Target="../queryTables/query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7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workbookViewId="0">
      <selection activeCell="B2" sqref="B2:L2"/>
    </sheetView>
  </sheetViews>
  <sheetFormatPr baseColWidth="10" defaultColWidth="9.1640625" defaultRowHeight="15" x14ac:dyDescent="0.2"/>
  <cols>
    <col min="2" max="3" width="10.1640625" bestFit="1" customWidth="1"/>
    <col min="4" max="4" width="10" bestFit="1" customWidth="1"/>
    <col min="5" max="5" width="10.1640625" bestFit="1" customWidth="1"/>
    <col min="6" max="6" width="9.5" bestFit="1" customWidth="1"/>
    <col min="7" max="7" width="4.6640625" bestFit="1" customWidth="1"/>
    <col min="8" max="9" width="10.6640625" bestFit="1" customWidth="1"/>
    <col min="10" max="11" width="12.5" bestFit="1" customWidth="1"/>
    <col min="12" max="12" width="8.83203125" bestFit="1" customWidth="1"/>
  </cols>
  <sheetData>
    <row r="1" spans="1:12" x14ac:dyDescent="0.2">
      <c r="A1" t="s">
        <v>38</v>
      </c>
      <c r="B1" s="3" t="s">
        <v>31</v>
      </c>
      <c r="C1" s="3" t="s">
        <v>32</v>
      </c>
      <c r="D1" s="3" t="s">
        <v>28</v>
      </c>
      <c r="E1" s="3" t="s">
        <v>29</v>
      </c>
      <c r="F1" s="3" t="s">
        <v>30</v>
      </c>
      <c r="G1" s="3" t="s">
        <v>37</v>
      </c>
      <c r="H1" s="3" t="s">
        <v>33</v>
      </c>
      <c r="I1" s="3" t="s">
        <v>23</v>
      </c>
      <c r="J1" s="3" t="s">
        <v>34</v>
      </c>
      <c r="K1" s="3" t="s">
        <v>35</v>
      </c>
      <c r="L1" s="3" t="s">
        <v>36</v>
      </c>
    </row>
    <row r="2" spans="1:12" x14ac:dyDescent="0.2">
      <c r="A2">
        <v>0</v>
      </c>
      <c r="B2" s="5">
        <v>44562</v>
      </c>
      <c r="C2" s="6">
        <v>0</v>
      </c>
      <c r="D2" s="6">
        <v>4.1666666666666664E-2</v>
      </c>
      <c r="E2" s="5">
        <v>44563</v>
      </c>
      <c r="F2" s="6">
        <v>0</v>
      </c>
      <c r="G2" s="7">
        <v>50</v>
      </c>
      <c r="H2" s="7">
        <v>100</v>
      </c>
      <c r="I2" s="10">
        <v>1</v>
      </c>
      <c r="J2" s="11">
        <v>1E-4</v>
      </c>
      <c r="K2" s="11">
        <v>1E-4</v>
      </c>
      <c r="L2" s="7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2"/>
  <sheetViews>
    <sheetView zoomScaleNormal="100" workbookViewId="0">
      <selection activeCell="A2" sqref="A2:F8"/>
    </sheetView>
  </sheetViews>
  <sheetFormatPr baseColWidth="10" defaultColWidth="9.1640625" defaultRowHeight="15" x14ac:dyDescent="0.2"/>
  <cols>
    <col min="8" max="8" width="76.83203125" customWidth="1"/>
  </cols>
  <sheetData>
    <row r="1" spans="1:6" x14ac:dyDescent="0.2">
      <c r="A1" s="3" t="s">
        <v>38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7</v>
      </c>
    </row>
    <row r="2" spans="1:6" x14ac:dyDescent="0.2">
      <c r="A2">
        <v>1</v>
      </c>
      <c r="B2">
        <v>1.7500000000000002E-2</v>
      </c>
      <c r="C2">
        <v>0.76685999999999999</v>
      </c>
      <c r="D2">
        <v>0.16200000000000001</v>
      </c>
      <c r="E2">
        <v>0</v>
      </c>
      <c r="F2">
        <v>0.24</v>
      </c>
    </row>
    <row r="3" spans="1:6" x14ac:dyDescent="0.2">
      <c r="A3">
        <v>2</v>
      </c>
      <c r="B3">
        <v>1.38E-2</v>
      </c>
      <c r="C3">
        <v>0.76956999999999998</v>
      </c>
      <c r="D3">
        <v>0.26500000000000001</v>
      </c>
      <c r="E3">
        <v>0</v>
      </c>
      <c r="F3">
        <v>0.24</v>
      </c>
    </row>
    <row r="4" spans="1:6" x14ac:dyDescent="0.2">
      <c r="A4">
        <v>3</v>
      </c>
      <c r="B4">
        <v>1.24E-2</v>
      </c>
      <c r="C4">
        <v>0.76612999999999998</v>
      </c>
      <c r="D4">
        <v>0.32500000000000001</v>
      </c>
      <c r="E4">
        <v>0</v>
      </c>
      <c r="F4">
        <v>0.24</v>
      </c>
    </row>
    <row r="5" spans="1:6" x14ac:dyDescent="0.2">
      <c r="A5">
        <v>4</v>
      </c>
      <c r="B5">
        <v>5.64E-3</v>
      </c>
      <c r="C5">
        <v>0.78013999999999994</v>
      </c>
      <c r="D5">
        <v>1.54</v>
      </c>
      <c r="E5">
        <v>0</v>
      </c>
      <c r="F5">
        <v>0.24</v>
      </c>
    </row>
    <row r="6" spans="1:6" x14ac:dyDescent="0.2">
      <c r="A6">
        <v>5</v>
      </c>
      <c r="B6">
        <v>6.6800000000000002E-3</v>
      </c>
      <c r="C6">
        <v>0.77844000000000002</v>
      </c>
      <c r="D6">
        <v>1.1100000000000001</v>
      </c>
      <c r="E6">
        <v>0</v>
      </c>
      <c r="F6">
        <v>0.24</v>
      </c>
    </row>
    <row r="7" spans="1:6" x14ac:dyDescent="0.2">
      <c r="A7">
        <v>6</v>
      </c>
      <c r="B7">
        <v>9.4400000000000005E-3</v>
      </c>
      <c r="C7">
        <v>0.77966000000000002</v>
      </c>
      <c r="D7">
        <v>0.56799999999999995</v>
      </c>
      <c r="E7">
        <v>0</v>
      </c>
      <c r="F7">
        <v>0.24</v>
      </c>
    </row>
    <row r="8" spans="1:6" x14ac:dyDescent="0.2">
      <c r="A8">
        <v>7</v>
      </c>
      <c r="B8">
        <v>5.1000000000000004E-3</v>
      </c>
      <c r="C8">
        <v>0.77880000000000005</v>
      </c>
      <c r="D8">
        <v>1.1499999999999999</v>
      </c>
      <c r="E8">
        <v>0</v>
      </c>
      <c r="F8">
        <v>0.24</v>
      </c>
    </row>
    <row r="24" spans="8:9" x14ac:dyDescent="0.2">
      <c r="H24" s="1"/>
    </row>
    <row r="25" spans="8:9" x14ac:dyDescent="0.2">
      <c r="H25" s="1"/>
      <c r="I25" s="2"/>
    </row>
    <row r="26" spans="8:9" x14ac:dyDescent="0.2">
      <c r="H26" s="1"/>
    </row>
    <row r="27" spans="8:9" x14ac:dyDescent="0.2">
      <c r="H27" s="1"/>
    </row>
    <row r="28" spans="8:9" x14ac:dyDescent="0.2">
      <c r="H28" s="1"/>
    </row>
    <row r="29" spans="8:9" x14ac:dyDescent="0.2">
      <c r="H29" s="1"/>
    </row>
    <row r="30" spans="8:9" x14ac:dyDescent="0.2">
      <c r="H30" s="1"/>
    </row>
    <row r="31" spans="8:9" x14ac:dyDescent="0.2">
      <c r="H31" s="1"/>
    </row>
    <row r="32" spans="8:9" x14ac:dyDescent="0.2">
      <c r="H32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workbookViewId="0">
      <selection activeCell="A2" sqref="A2:A25"/>
    </sheetView>
  </sheetViews>
  <sheetFormatPr baseColWidth="10" defaultColWidth="9.1640625" defaultRowHeight="15" x14ac:dyDescent="0.2"/>
  <cols>
    <col min="1" max="1" width="12.83203125" bestFit="1" customWidth="1"/>
    <col min="4" max="4" width="17.5" bestFit="1" customWidth="1"/>
  </cols>
  <sheetData>
    <row r="1" spans="1:5" x14ac:dyDescent="0.2">
      <c r="A1" t="s">
        <v>50</v>
      </c>
      <c r="B1" s="3" t="s">
        <v>16</v>
      </c>
      <c r="C1" s="3" t="s">
        <v>11</v>
      </c>
      <c r="D1" s="3" t="s">
        <v>17</v>
      </c>
      <c r="E1" s="3" t="s">
        <v>18</v>
      </c>
    </row>
    <row r="2" spans="1:5" x14ac:dyDescent="0.2">
      <c r="A2" s="14">
        <v>1</v>
      </c>
      <c r="B2" s="12">
        <v>1</v>
      </c>
      <c r="C2" s="12">
        <v>1</v>
      </c>
      <c r="D2" s="13">
        <v>5.1999999999999998E-2</v>
      </c>
      <c r="E2" s="13">
        <v>0.152</v>
      </c>
    </row>
    <row r="3" spans="1:5" x14ac:dyDescent="0.2">
      <c r="A3" s="14">
        <v>1</v>
      </c>
      <c r="B3" s="12">
        <v>2</v>
      </c>
      <c r="C3" s="12">
        <v>1</v>
      </c>
      <c r="D3" s="13">
        <v>0</v>
      </c>
      <c r="E3" s="13">
        <v>0.152</v>
      </c>
    </row>
    <row r="4" spans="1:5" x14ac:dyDescent="0.2">
      <c r="A4" s="14">
        <v>1</v>
      </c>
      <c r="B4" s="12">
        <v>3</v>
      </c>
      <c r="C4" s="12">
        <v>1</v>
      </c>
      <c r="D4" s="13">
        <v>5.1999999999999998E-2</v>
      </c>
      <c r="E4" s="13">
        <v>0.1</v>
      </c>
    </row>
    <row r="5" spans="1:5" x14ac:dyDescent="0.2">
      <c r="A5" s="14">
        <v>1</v>
      </c>
      <c r="B5" s="12">
        <v>4</v>
      </c>
      <c r="C5" s="12">
        <v>2</v>
      </c>
      <c r="D5" s="13">
        <v>0</v>
      </c>
      <c r="E5" s="13">
        <v>0.1</v>
      </c>
    </row>
    <row r="6" spans="1:5" x14ac:dyDescent="0.2">
      <c r="A6" s="14">
        <v>2</v>
      </c>
      <c r="B6" s="12">
        <v>1</v>
      </c>
      <c r="C6" s="12">
        <v>2</v>
      </c>
      <c r="D6" s="13">
        <v>4.2000000000000003E-2</v>
      </c>
      <c r="E6" s="13">
        <v>0.14199999999999999</v>
      </c>
    </row>
    <row r="7" spans="1:5" x14ac:dyDescent="0.2">
      <c r="A7" s="14">
        <v>2</v>
      </c>
      <c r="B7" s="12">
        <v>2</v>
      </c>
      <c r="C7" s="12">
        <v>2</v>
      </c>
      <c r="D7" s="13">
        <v>0</v>
      </c>
      <c r="E7" s="13">
        <v>0.14199999999999999</v>
      </c>
    </row>
    <row r="8" spans="1:5" x14ac:dyDescent="0.2">
      <c r="A8" s="14">
        <v>2</v>
      </c>
      <c r="B8" s="12">
        <v>3</v>
      </c>
      <c r="C8" s="12">
        <v>2</v>
      </c>
      <c r="D8" s="13">
        <v>4.2000000000000003E-2</v>
      </c>
      <c r="E8" s="13">
        <v>0.1</v>
      </c>
    </row>
    <row r="9" spans="1:5" x14ac:dyDescent="0.2">
      <c r="A9" s="14">
        <v>2</v>
      </c>
      <c r="B9" s="12">
        <v>4</v>
      </c>
      <c r="C9" s="12">
        <v>3</v>
      </c>
      <c r="D9" s="13">
        <v>0</v>
      </c>
      <c r="E9" s="13">
        <v>0.1</v>
      </c>
    </row>
    <row r="10" spans="1:5" x14ac:dyDescent="0.2">
      <c r="A10" s="14">
        <v>3</v>
      </c>
      <c r="B10" s="12">
        <v>1</v>
      </c>
      <c r="C10" s="12">
        <v>3</v>
      </c>
      <c r="D10" s="13">
        <v>3.9E-2</v>
      </c>
      <c r="E10" s="13">
        <v>0.13900000000000001</v>
      </c>
    </row>
    <row r="11" spans="1:5" x14ac:dyDescent="0.2">
      <c r="A11" s="14">
        <v>3</v>
      </c>
      <c r="B11" s="12">
        <v>2</v>
      </c>
      <c r="C11" s="12">
        <v>3</v>
      </c>
      <c r="D11" s="13">
        <v>0</v>
      </c>
      <c r="E11" s="13">
        <v>0.13900000000000001</v>
      </c>
    </row>
    <row r="12" spans="1:5" x14ac:dyDescent="0.2">
      <c r="A12" s="14">
        <v>3</v>
      </c>
      <c r="B12" s="12">
        <v>3</v>
      </c>
      <c r="C12" s="12">
        <v>3</v>
      </c>
      <c r="D12" s="13">
        <v>3.9E-2</v>
      </c>
      <c r="E12" s="13">
        <v>0.1</v>
      </c>
    </row>
    <row r="13" spans="1:5" x14ac:dyDescent="0.2">
      <c r="A13" s="14">
        <v>3</v>
      </c>
      <c r="B13" s="12">
        <v>4</v>
      </c>
      <c r="C13" s="12">
        <v>6</v>
      </c>
      <c r="D13" s="13">
        <v>0</v>
      </c>
      <c r="E13" s="13">
        <v>0.1</v>
      </c>
    </row>
    <row r="14" spans="1:5" x14ac:dyDescent="0.2">
      <c r="A14" s="14">
        <v>4</v>
      </c>
      <c r="B14" s="12">
        <v>1</v>
      </c>
      <c r="C14" s="12">
        <v>4</v>
      </c>
      <c r="D14" s="13">
        <v>2.4E-2</v>
      </c>
      <c r="E14" s="13">
        <v>0.124</v>
      </c>
    </row>
    <row r="15" spans="1:5" x14ac:dyDescent="0.2">
      <c r="A15" s="14">
        <v>4</v>
      </c>
      <c r="B15" s="12">
        <v>2</v>
      </c>
      <c r="C15" s="12">
        <v>4</v>
      </c>
      <c r="D15" s="13">
        <v>0</v>
      </c>
      <c r="E15" s="13">
        <v>0.124</v>
      </c>
    </row>
    <row r="16" spans="1:5" x14ac:dyDescent="0.2">
      <c r="A16" s="14">
        <v>4</v>
      </c>
      <c r="B16" s="12">
        <v>3</v>
      </c>
      <c r="C16" s="12">
        <v>4</v>
      </c>
      <c r="D16" s="13">
        <v>2.4E-2</v>
      </c>
      <c r="E16" s="13">
        <v>0.1</v>
      </c>
    </row>
    <row r="17" spans="1:5" x14ac:dyDescent="0.2">
      <c r="A17" s="14">
        <v>4</v>
      </c>
      <c r="B17" s="12">
        <v>4</v>
      </c>
      <c r="C17" s="12">
        <v>7</v>
      </c>
      <c r="D17" s="13">
        <v>0</v>
      </c>
      <c r="E17" s="13">
        <v>0.1</v>
      </c>
    </row>
    <row r="18" spans="1:5" x14ac:dyDescent="0.2">
      <c r="A18" s="14">
        <v>5</v>
      </c>
      <c r="B18" s="12">
        <v>1</v>
      </c>
      <c r="C18" s="12">
        <v>5</v>
      </c>
      <c r="D18" s="13">
        <v>2.5999999999999999E-2</v>
      </c>
      <c r="E18" s="13">
        <v>0.126</v>
      </c>
    </row>
    <row r="19" spans="1:5" x14ac:dyDescent="0.2">
      <c r="A19" s="14">
        <v>5</v>
      </c>
      <c r="B19" s="12">
        <v>2</v>
      </c>
      <c r="C19" s="12">
        <v>5</v>
      </c>
      <c r="D19" s="13">
        <v>0</v>
      </c>
      <c r="E19" s="13">
        <v>0.126</v>
      </c>
    </row>
    <row r="20" spans="1:5" x14ac:dyDescent="0.2">
      <c r="A20" s="14">
        <v>5</v>
      </c>
      <c r="B20" s="12">
        <v>3</v>
      </c>
      <c r="C20" s="12">
        <v>5</v>
      </c>
      <c r="D20" s="13">
        <v>2.5999999999999999E-2</v>
      </c>
      <c r="E20" s="13">
        <v>0.1</v>
      </c>
    </row>
    <row r="21" spans="1:5" x14ac:dyDescent="0.2">
      <c r="A21" s="14">
        <v>5</v>
      </c>
      <c r="B21" s="12">
        <v>4</v>
      </c>
      <c r="C21" s="12">
        <v>7</v>
      </c>
      <c r="D21" s="13">
        <v>0</v>
      </c>
      <c r="E21" s="13">
        <v>0.1</v>
      </c>
    </row>
    <row r="22" spans="1:5" x14ac:dyDescent="0.2">
      <c r="A22" s="14">
        <v>6</v>
      </c>
      <c r="B22" s="12">
        <v>1</v>
      </c>
      <c r="C22" s="12">
        <v>6</v>
      </c>
      <c r="D22" s="13">
        <v>3.2000000000000001E-2</v>
      </c>
      <c r="E22" s="13">
        <v>0.13200000000000001</v>
      </c>
    </row>
    <row r="23" spans="1:5" x14ac:dyDescent="0.2">
      <c r="A23" s="14">
        <v>6</v>
      </c>
      <c r="B23" s="12">
        <v>2</v>
      </c>
      <c r="C23" s="12">
        <v>6</v>
      </c>
      <c r="D23" s="13">
        <v>0</v>
      </c>
      <c r="E23" s="13">
        <v>0.13200000000000001</v>
      </c>
    </row>
    <row r="24" spans="1:5" x14ac:dyDescent="0.2">
      <c r="A24" s="14">
        <v>6</v>
      </c>
      <c r="B24" s="12">
        <v>3</v>
      </c>
      <c r="C24" s="12">
        <v>6</v>
      </c>
      <c r="D24" s="13">
        <v>3.2000000000000001E-2</v>
      </c>
      <c r="E24" s="13">
        <v>0.1</v>
      </c>
    </row>
    <row r="25" spans="1:5" x14ac:dyDescent="0.2">
      <c r="A25" s="14">
        <v>6</v>
      </c>
      <c r="B25" s="12">
        <v>4</v>
      </c>
      <c r="C25" s="12">
        <v>5</v>
      </c>
      <c r="D25" s="13">
        <v>0</v>
      </c>
      <c r="E25" s="13">
        <v>0.1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zoomScaleNormal="100" workbookViewId="0">
      <selection activeCell="A2" sqref="A2:H12"/>
    </sheetView>
  </sheetViews>
  <sheetFormatPr baseColWidth="10" defaultColWidth="9.1640625" defaultRowHeight="15" x14ac:dyDescent="0.2"/>
  <cols>
    <col min="1" max="1" width="6" bestFit="1" customWidth="1"/>
    <col min="2" max="2" width="14.5" bestFit="1" customWidth="1"/>
    <col min="3" max="3" width="14.6640625" bestFit="1" customWidth="1"/>
    <col min="4" max="4" width="15.5" bestFit="1" customWidth="1"/>
    <col min="5" max="5" width="15.6640625" bestFit="1" customWidth="1"/>
    <col min="6" max="6" width="12.5" bestFit="1" customWidth="1"/>
    <col min="7" max="7" width="13.5" bestFit="1" customWidth="1"/>
    <col min="8" max="8" width="9.33203125" bestFit="1" customWidth="1"/>
    <col min="13" max="13" width="8.83203125" customWidth="1"/>
    <col min="15" max="15" width="8.83203125" customWidth="1"/>
    <col min="17" max="17" width="8.83203125" customWidth="1"/>
    <col min="21" max="34" width="8.83203125" customWidth="1"/>
  </cols>
  <sheetData>
    <row r="1" spans="1:8" x14ac:dyDescent="0.2">
      <c r="A1" s="3" t="s">
        <v>38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">
      <c r="A2" s="15">
        <v>101</v>
      </c>
      <c r="B2" s="15">
        <v>3.06</v>
      </c>
      <c r="C2" s="15">
        <v>0.10100000000000001</v>
      </c>
      <c r="D2" s="15">
        <v>12.24</v>
      </c>
      <c r="E2" s="15">
        <v>0.40400000000000003</v>
      </c>
      <c r="F2" s="15">
        <v>1</v>
      </c>
      <c r="G2" s="15">
        <v>1</v>
      </c>
      <c r="H2" s="15">
        <v>5.1999999999999998E-2</v>
      </c>
    </row>
    <row r="3" spans="1:8" x14ac:dyDescent="0.2">
      <c r="A3" s="15">
        <v>102</v>
      </c>
      <c r="B3" s="15">
        <v>1.117</v>
      </c>
      <c r="C3" s="15">
        <v>0.41</v>
      </c>
      <c r="D3" s="15">
        <v>4.468</v>
      </c>
      <c r="E3" s="15">
        <v>1.64</v>
      </c>
      <c r="F3" s="15">
        <v>1</v>
      </c>
      <c r="G3" s="15">
        <v>1</v>
      </c>
      <c r="H3" s="15">
        <v>0.105</v>
      </c>
    </row>
    <row r="4" spans="1:8" x14ac:dyDescent="0.2">
      <c r="A4" s="15">
        <v>103</v>
      </c>
      <c r="B4" s="15">
        <v>3.06</v>
      </c>
      <c r="C4" s="15">
        <v>9.5000000000000001E-2</v>
      </c>
      <c r="D4" s="15">
        <v>12.24</v>
      </c>
      <c r="E4" s="15">
        <v>0.38</v>
      </c>
      <c r="F4" s="15">
        <v>1</v>
      </c>
      <c r="G4" s="15">
        <v>1</v>
      </c>
      <c r="H4" s="15">
        <v>4.5999999999999999E-2</v>
      </c>
    </row>
    <row r="5" spans="1:8" x14ac:dyDescent="0.2">
      <c r="A5" s="15">
        <v>104</v>
      </c>
      <c r="B5" s="15">
        <v>1.1599999999999999</v>
      </c>
      <c r="C5" s="15">
        <v>8.2000000000000003E-2</v>
      </c>
      <c r="D5" s="15">
        <v>4.6399999999999997</v>
      </c>
      <c r="E5" s="15">
        <v>0.32800000000000001</v>
      </c>
      <c r="F5" s="15">
        <v>1</v>
      </c>
      <c r="G5" s="15">
        <v>1</v>
      </c>
      <c r="H5" s="15">
        <v>9.6000000000000002E-2</v>
      </c>
    </row>
    <row r="6" spans="1:8" x14ac:dyDescent="0.2">
      <c r="A6" s="15">
        <v>105</v>
      </c>
      <c r="B6" s="15">
        <v>1.1599999999999999</v>
      </c>
      <c r="C6" s="15">
        <v>8.2000000000000003E-2</v>
      </c>
      <c r="D6" s="15">
        <v>4.6399999999999997</v>
      </c>
      <c r="E6" s="15">
        <v>0.32800000000000001</v>
      </c>
      <c r="F6" s="15">
        <v>1</v>
      </c>
      <c r="G6" s="15">
        <v>1</v>
      </c>
      <c r="H6" s="15">
        <v>8.5000000000000006E-2</v>
      </c>
    </row>
    <row r="7" spans="1:8" x14ac:dyDescent="0.2">
      <c r="A7" s="15">
        <v>106</v>
      </c>
      <c r="B7" s="15">
        <v>0.38700000000000001</v>
      </c>
      <c r="C7" s="15">
        <v>7.8E-2</v>
      </c>
      <c r="D7" s="15">
        <v>2.589</v>
      </c>
      <c r="E7" s="15">
        <v>0.32100000000000001</v>
      </c>
      <c r="F7" s="15">
        <v>1</v>
      </c>
      <c r="G7" s="15">
        <v>1</v>
      </c>
      <c r="H7" s="15">
        <v>0.18</v>
      </c>
    </row>
    <row r="8" spans="1:8" x14ac:dyDescent="0.2">
      <c r="A8" s="15">
        <v>107</v>
      </c>
      <c r="B8" s="15">
        <v>1.1599999999999999</v>
      </c>
      <c r="C8" s="15">
        <v>0.08</v>
      </c>
      <c r="D8" s="15">
        <v>4.6399999999999997</v>
      </c>
      <c r="E8" s="15">
        <v>0.32</v>
      </c>
      <c r="F8" s="15">
        <v>1</v>
      </c>
      <c r="G8" s="15">
        <v>1</v>
      </c>
      <c r="H8" s="15">
        <v>8.5000000000000006E-2</v>
      </c>
    </row>
    <row r="9" spans="1:8" x14ac:dyDescent="0.2">
      <c r="A9" s="15">
        <v>108</v>
      </c>
      <c r="B9" s="15">
        <v>1.1399999999999999</v>
      </c>
      <c r="C9" s="15">
        <v>0.112</v>
      </c>
      <c r="D9" s="15">
        <v>4.5599999999999996</v>
      </c>
      <c r="E9" s="15">
        <v>0.44800000000000001</v>
      </c>
      <c r="F9" s="15">
        <v>1</v>
      </c>
      <c r="G9" s="15">
        <v>1</v>
      </c>
      <c r="H9" s="15">
        <v>8.5000000000000006E-2</v>
      </c>
    </row>
    <row r="10" spans="1:8" x14ac:dyDescent="0.2">
      <c r="A10" s="15">
        <v>109</v>
      </c>
      <c r="B10" s="15">
        <v>1.1599999999999999</v>
      </c>
      <c r="C10" s="15">
        <v>0.08</v>
      </c>
      <c r="D10" s="15">
        <v>4.6399999999999997</v>
      </c>
      <c r="E10" s="15">
        <v>0.32</v>
      </c>
      <c r="F10" s="15">
        <v>1</v>
      </c>
      <c r="G10" s="15">
        <v>1</v>
      </c>
      <c r="H10" s="15">
        <v>8.5000000000000006E-2</v>
      </c>
    </row>
    <row r="11" spans="1:8" x14ac:dyDescent="0.2">
      <c r="A11" s="15">
        <v>110</v>
      </c>
      <c r="B11" s="15">
        <v>0.19500000000000001</v>
      </c>
      <c r="C11" s="15">
        <v>7.0000000000000007E-2</v>
      </c>
      <c r="D11" s="15">
        <v>1.3680000000000001</v>
      </c>
      <c r="E11" s="15">
        <v>0.28000000000000003</v>
      </c>
      <c r="F11" s="15">
        <v>1</v>
      </c>
      <c r="G11" s="15">
        <v>1</v>
      </c>
      <c r="H11" s="15">
        <v>0.25800000000000001</v>
      </c>
    </row>
    <row r="12" spans="1:8" x14ac:dyDescent="0.2">
      <c r="A12" s="15">
        <v>1000</v>
      </c>
      <c r="B12" s="15">
        <v>1E-4</v>
      </c>
      <c r="C12" s="15">
        <v>1E-4</v>
      </c>
      <c r="D12" s="15">
        <v>1000000</v>
      </c>
      <c r="E12" s="15">
        <v>1000000</v>
      </c>
      <c r="F12" s="15">
        <v>1</v>
      </c>
      <c r="G12" s="15">
        <v>1</v>
      </c>
      <c r="H12" s="1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"/>
  <sheetViews>
    <sheetView workbookViewId="0">
      <selection activeCell="K7" sqref="K7"/>
    </sheetView>
  </sheetViews>
  <sheetFormatPr baseColWidth="10" defaultColWidth="9.1640625" defaultRowHeight="15" x14ac:dyDescent="0.2"/>
  <cols>
    <col min="4" max="4" width="12.5" bestFit="1" customWidth="1"/>
    <col min="5" max="5" width="12" customWidth="1"/>
    <col min="6" max="6" width="13.5" bestFit="1" customWidth="1"/>
    <col min="7" max="7" width="10" bestFit="1" customWidth="1"/>
  </cols>
  <sheetData>
    <row r="1" spans="1:8" x14ac:dyDescent="0.2">
      <c r="A1" s="3" t="s">
        <v>51</v>
      </c>
      <c r="B1" s="3" t="s">
        <v>8</v>
      </c>
      <c r="C1" s="3" t="s">
        <v>9</v>
      </c>
      <c r="D1" s="3" t="s">
        <v>52</v>
      </c>
      <c r="E1" s="3" t="s">
        <v>10</v>
      </c>
      <c r="F1" s="3" t="s">
        <v>53</v>
      </c>
      <c r="G1" s="3" t="s">
        <v>54</v>
      </c>
      <c r="H1" s="3" t="s">
        <v>55</v>
      </c>
    </row>
    <row r="2" spans="1:8" x14ac:dyDescent="0.2">
      <c r="A2">
        <v>1</v>
      </c>
      <c r="B2">
        <v>20</v>
      </c>
      <c r="C2" s="8">
        <v>1E-10</v>
      </c>
      <c r="D2">
        <v>4</v>
      </c>
      <c r="E2">
        <v>0</v>
      </c>
      <c r="F2">
        <v>0</v>
      </c>
      <c r="G2">
        <v>0</v>
      </c>
      <c r="H2">
        <v>4</v>
      </c>
    </row>
    <row r="3" spans="1:8" x14ac:dyDescent="0.2">
      <c r="A3" s="9">
        <v>2</v>
      </c>
      <c r="B3" s="9">
        <v>0.4</v>
      </c>
      <c r="C3" s="8">
        <v>1E-10</v>
      </c>
      <c r="D3" s="9">
        <v>4</v>
      </c>
      <c r="E3">
        <v>1</v>
      </c>
      <c r="F3">
        <v>0</v>
      </c>
      <c r="G3">
        <v>0</v>
      </c>
      <c r="H3">
        <v>4</v>
      </c>
    </row>
    <row r="4" spans="1:8" x14ac:dyDescent="0.2">
      <c r="A4" s="9">
        <v>3</v>
      </c>
      <c r="B4" s="9">
        <v>0.4</v>
      </c>
      <c r="C4" s="8">
        <v>10000000000</v>
      </c>
      <c r="D4" s="9">
        <v>4</v>
      </c>
      <c r="E4">
        <v>3</v>
      </c>
      <c r="F4">
        <v>0</v>
      </c>
      <c r="G4">
        <v>0</v>
      </c>
      <c r="H4">
        <v>4</v>
      </c>
    </row>
    <row r="5" spans="1:8" x14ac:dyDescent="0.2">
      <c r="A5" s="9">
        <v>4</v>
      </c>
      <c r="B5" s="9">
        <v>0.4</v>
      </c>
      <c r="C5" s="8">
        <v>10000000000</v>
      </c>
      <c r="D5" s="9">
        <v>4</v>
      </c>
      <c r="E5">
        <v>4</v>
      </c>
      <c r="F5">
        <v>0</v>
      </c>
      <c r="G5">
        <v>0</v>
      </c>
      <c r="H5">
        <v>4</v>
      </c>
    </row>
    <row r="6" spans="1:8" x14ac:dyDescent="0.2">
      <c r="A6" s="9">
        <v>5</v>
      </c>
      <c r="B6" s="9">
        <v>0.4</v>
      </c>
      <c r="C6" s="8">
        <v>10000000000</v>
      </c>
      <c r="D6" s="9">
        <v>4</v>
      </c>
      <c r="E6">
        <v>6</v>
      </c>
      <c r="F6">
        <v>0</v>
      </c>
      <c r="G6">
        <v>0</v>
      </c>
      <c r="H6">
        <v>4</v>
      </c>
    </row>
    <row r="7" spans="1:8" x14ac:dyDescent="0.2">
      <c r="A7" s="9">
        <v>6</v>
      </c>
      <c r="B7" s="9">
        <v>0.4</v>
      </c>
      <c r="C7" s="8">
        <v>10000000000</v>
      </c>
      <c r="D7" s="9">
        <v>4</v>
      </c>
      <c r="E7">
        <v>9</v>
      </c>
      <c r="F7">
        <v>0</v>
      </c>
      <c r="G7">
        <v>0</v>
      </c>
      <c r="H7">
        <v>4</v>
      </c>
    </row>
    <row r="8" spans="1:8" x14ac:dyDescent="0.2">
      <c r="A8" s="9">
        <v>7</v>
      </c>
      <c r="B8" s="9">
        <v>0.4</v>
      </c>
      <c r="C8" s="8">
        <v>10000000000</v>
      </c>
      <c r="D8" s="9">
        <v>4</v>
      </c>
      <c r="E8">
        <v>10</v>
      </c>
      <c r="F8">
        <v>0</v>
      </c>
      <c r="G8">
        <v>0</v>
      </c>
      <c r="H8">
        <v>4</v>
      </c>
    </row>
    <row r="9" spans="1:8" x14ac:dyDescent="0.2">
      <c r="A9" s="9">
        <v>8</v>
      </c>
      <c r="B9" s="9">
        <v>0.4</v>
      </c>
      <c r="C9" s="8">
        <v>10000000000</v>
      </c>
      <c r="D9" s="9">
        <v>4</v>
      </c>
      <c r="E9">
        <v>11</v>
      </c>
      <c r="F9">
        <v>0</v>
      </c>
      <c r="G9">
        <v>0</v>
      </c>
      <c r="H9">
        <v>4</v>
      </c>
    </row>
    <row r="10" spans="1:8" x14ac:dyDescent="0.2">
      <c r="A10" s="9">
        <v>9</v>
      </c>
      <c r="B10" s="9">
        <v>0.4</v>
      </c>
      <c r="C10" s="8">
        <v>10000000000</v>
      </c>
      <c r="D10" s="9">
        <v>4</v>
      </c>
      <c r="E10">
        <v>14</v>
      </c>
      <c r="F10">
        <v>0</v>
      </c>
      <c r="G10">
        <v>0</v>
      </c>
      <c r="H10">
        <v>4</v>
      </c>
    </row>
    <row r="11" spans="1:8" x14ac:dyDescent="0.2">
      <c r="A11" s="9">
        <v>10</v>
      </c>
      <c r="B11" s="9">
        <v>0.4</v>
      </c>
      <c r="C11" s="8">
        <v>10000000000</v>
      </c>
      <c r="D11" s="9">
        <v>4</v>
      </c>
      <c r="E11">
        <v>15</v>
      </c>
      <c r="F11">
        <v>0</v>
      </c>
      <c r="G11">
        <v>0</v>
      </c>
      <c r="H11">
        <v>4</v>
      </c>
    </row>
    <row r="12" spans="1:8" x14ac:dyDescent="0.2">
      <c r="A12" s="9">
        <v>11</v>
      </c>
      <c r="B12" s="9">
        <v>0.4</v>
      </c>
      <c r="C12" s="8">
        <v>10000000000</v>
      </c>
      <c r="D12" s="9">
        <v>4</v>
      </c>
      <c r="E12">
        <v>16</v>
      </c>
      <c r="F12">
        <v>0</v>
      </c>
      <c r="G12">
        <v>0</v>
      </c>
      <c r="H12">
        <v>4</v>
      </c>
    </row>
    <row r="13" spans="1:8" x14ac:dyDescent="0.2">
      <c r="A13" s="9">
        <v>12</v>
      </c>
      <c r="B13" s="9">
        <v>0.4</v>
      </c>
      <c r="C13" s="8">
        <v>10000000000</v>
      </c>
      <c r="D13" s="9">
        <v>4</v>
      </c>
      <c r="E13">
        <v>17</v>
      </c>
      <c r="F13">
        <v>0</v>
      </c>
      <c r="G13">
        <v>0</v>
      </c>
      <c r="H13">
        <v>4</v>
      </c>
    </row>
    <row r="14" spans="1:8" x14ac:dyDescent="0.2">
      <c r="A14" s="9">
        <v>13</v>
      </c>
      <c r="B14" s="9">
        <v>0.4</v>
      </c>
      <c r="C14" s="8">
        <v>10000000000</v>
      </c>
      <c r="D14" s="9">
        <v>4</v>
      </c>
      <c r="E14">
        <v>18</v>
      </c>
      <c r="F14">
        <v>0</v>
      </c>
      <c r="G14">
        <v>0</v>
      </c>
      <c r="H14">
        <v>4</v>
      </c>
    </row>
  </sheetData>
  <dataConsolidate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5"/>
  <sheetViews>
    <sheetView topLeftCell="A16" zoomScaleNormal="100" workbookViewId="0">
      <selection activeCell="J41" sqref="J41:J45"/>
    </sheetView>
  </sheetViews>
  <sheetFormatPr baseColWidth="10" defaultColWidth="9.1640625" defaultRowHeight="15" x14ac:dyDescent="0.2"/>
  <cols>
    <col min="1" max="1" width="8.83203125" customWidth="1"/>
    <col min="2" max="2" width="5.5" bestFit="1" customWidth="1"/>
    <col min="3" max="3" width="8.6640625" bestFit="1" customWidth="1"/>
    <col min="4" max="4" width="8.83203125" bestFit="1" customWidth="1"/>
    <col min="5" max="5" width="14.5" bestFit="1" customWidth="1"/>
    <col min="6" max="6" width="6.5" bestFit="1" customWidth="1"/>
    <col min="7" max="7" width="12.1640625" bestFit="1" customWidth="1"/>
    <col min="8" max="8" width="10.5" bestFit="1" customWidth="1"/>
  </cols>
  <sheetData>
    <row r="1" spans="1:10" x14ac:dyDescent="0.2">
      <c r="A1" s="3" t="s">
        <v>38</v>
      </c>
      <c r="B1" s="3" t="s">
        <v>10</v>
      </c>
      <c r="C1" s="3" t="s">
        <v>21</v>
      </c>
      <c r="D1" s="3" t="s">
        <v>19</v>
      </c>
      <c r="E1" s="3" t="s">
        <v>41</v>
      </c>
      <c r="F1" s="3" t="s">
        <v>20</v>
      </c>
      <c r="G1" s="3" t="s">
        <v>42</v>
      </c>
      <c r="H1" s="3" t="s">
        <v>22</v>
      </c>
      <c r="I1" s="3" t="s">
        <v>0</v>
      </c>
      <c r="J1" s="3" t="s">
        <v>40</v>
      </c>
    </row>
    <row r="2" spans="1:10" x14ac:dyDescent="0.2">
      <c r="A2" s="3">
        <v>0</v>
      </c>
      <c r="B2" s="3">
        <v>1</v>
      </c>
      <c r="C2" s="3">
        <v>1</v>
      </c>
      <c r="D2" s="3">
        <v>2</v>
      </c>
      <c r="E2" s="3">
        <v>1</v>
      </c>
      <c r="F2" s="3">
        <v>3</v>
      </c>
      <c r="G2" s="3">
        <v>1</v>
      </c>
      <c r="H2">
        <v>7.0000000000000007E-2</v>
      </c>
      <c r="I2" t="s">
        <v>49</v>
      </c>
      <c r="J2" t="b">
        <v>1</v>
      </c>
    </row>
    <row r="3" spans="1:10" x14ac:dyDescent="0.2">
      <c r="A3" s="3">
        <v>1</v>
      </c>
      <c r="B3" s="3">
        <v>1</v>
      </c>
      <c r="C3" s="3">
        <v>1</v>
      </c>
      <c r="D3" s="3">
        <v>2</v>
      </c>
      <c r="E3" s="3">
        <v>2</v>
      </c>
      <c r="F3" s="3">
        <v>3</v>
      </c>
      <c r="G3" s="3">
        <v>2</v>
      </c>
      <c r="H3">
        <v>7.0000000000000007E-2</v>
      </c>
      <c r="I3" t="s">
        <v>49</v>
      </c>
      <c r="J3" t="b">
        <v>1</v>
      </c>
    </row>
    <row r="4" spans="1:10" x14ac:dyDescent="0.2">
      <c r="A4" s="3">
        <v>2</v>
      </c>
      <c r="B4" s="3">
        <v>1</v>
      </c>
      <c r="C4" s="3">
        <v>1</v>
      </c>
      <c r="D4" s="3">
        <v>2</v>
      </c>
      <c r="E4" s="3">
        <v>3</v>
      </c>
      <c r="F4" s="3">
        <v>3</v>
      </c>
      <c r="G4" s="3">
        <v>3</v>
      </c>
      <c r="H4">
        <v>7.0000000000000007E-2</v>
      </c>
      <c r="I4" t="s">
        <v>49</v>
      </c>
      <c r="J4" t="b">
        <v>1</v>
      </c>
    </row>
    <row r="5" spans="1:10" x14ac:dyDescent="0.2">
      <c r="A5" s="3">
        <v>3</v>
      </c>
      <c r="B5" s="3">
        <v>1</v>
      </c>
      <c r="C5" s="3">
        <v>1</v>
      </c>
      <c r="D5" s="3">
        <v>2</v>
      </c>
      <c r="E5" s="3">
        <v>4</v>
      </c>
      <c r="F5" s="3">
        <v>3</v>
      </c>
      <c r="G5" s="3">
        <v>4</v>
      </c>
      <c r="H5">
        <v>7.0000000000000007E-2</v>
      </c>
      <c r="I5" t="s">
        <v>49</v>
      </c>
      <c r="J5" t="b">
        <v>1</v>
      </c>
    </row>
    <row r="6" spans="1:10" x14ac:dyDescent="0.2">
      <c r="A6" s="3">
        <v>4</v>
      </c>
      <c r="B6" s="3">
        <v>2</v>
      </c>
      <c r="C6" s="3">
        <v>1</v>
      </c>
      <c r="D6" s="3">
        <v>3</v>
      </c>
      <c r="E6" s="3">
        <v>1</v>
      </c>
      <c r="F6" s="3">
        <v>4</v>
      </c>
      <c r="G6" s="15">
        <v>1</v>
      </c>
      <c r="H6">
        <v>3.5000000000000003E-2</v>
      </c>
      <c r="I6" t="s">
        <v>49</v>
      </c>
      <c r="J6" t="b">
        <v>1</v>
      </c>
    </row>
    <row r="7" spans="1:10" x14ac:dyDescent="0.2">
      <c r="A7" s="3">
        <v>5</v>
      </c>
      <c r="B7" s="3">
        <v>2</v>
      </c>
      <c r="C7" s="3">
        <v>1</v>
      </c>
      <c r="D7" s="3">
        <v>3</v>
      </c>
      <c r="E7" s="3">
        <v>2</v>
      </c>
      <c r="F7" s="3">
        <v>4</v>
      </c>
      <c r="G7" s="15">
        <v>2</v>
      </c>
      <c r="H7">
        <v>3.5000000000000003E-2</v>
      </c>
      <c r="I7" t="s">
        <v>49</v>
      </c>
      <c r="J7" t="b">
        <v>1</v>
      </c>
    </row>
    <row r="8" spans="1:10" x14ac:dyDescent="0.2">
      <c r="A8" s="3">
        <v>6</v>
      </c>
      <c r="B8" s="3">
        <v>2</v>
      </c>
      <c r="C8" s="3">
        <v>1</v>
      </c>
      <c r="D8" s="3">
        <v>3</v>
      </c>
      <c r="E8" s="3">
        <v>3</v>
      </c>
      <c r="F8" s="3">
        <v>4</v>
      </c>
      <c r="G8" s="15">
        <v>3</v>
      </c>
      <c r="H8">
        <v>3.5000000000000003E-2</v>
      </c>
      <c r="I8" t="s">
        <v>49</v>
      </c>
      <c r="J8" t="b">
        <v>1</v>
      </c>
    </row>
    <row r="9" spans="1:10" x14ac:dyDescent="0.2">
      <c r="A9" s="3">
        <v>7</v>
      </c>
      <c r="B9" s="3">
        <v>2</v>
      </c>
      <c r="C9" s="3">
        <v>1</v>
      </c>
      <c r="D9" s="3">
        <v>3</v>
      </c>
      <c r="E9" s="3">
        <v>4</v>
      </c>
      <c r="F9" s="3">
        <v>4</v>
      </c>
      <c r="G9" s="15">
        <v>4</v>
      </c>
      <c r="H9">
        <v>3.5000000000000003E-2</v>
      </c>
      <c r="I9" t="s">
        <v>49</v>
      </c>
      <c r="J9" t="b">
        <v>1</v>
      </c>
    </row>
    <row r="10" spans="1:10" x14ac:dyDescent="0.2">
      <c r="A10" s="3">
        <v>8</v>
      </c>
      <c r="B10" s="3">
        <v>3</v>
      </c>
      <c r="C10" s="3">
        <v>1</v>
      </c>
      <c r="D10" s="3">
        <v>4</v>
      </c>
      <c r="E10" s="3">
        <v>1</v>
      </c>
      <c r="F10" s="3">
        <v>5</v>
      </c>
      <c r="G10" s="15">
        <v>1</v>
      </c>
      <c r="H10">
        <v>7.0000000000000007E-2</v>
      </c>
      <c r="I10" t="s">
        <v>49</v>
      </c>
      <c r="J10" t="b">
        <v>1</v>
      </c>
    </row>
    <row r="11" spans="1:10" x14ac:dyDescent="0.2">
      <c r="A11" s="3">
        <v>9</v>
      </c>
      <c r="B11" s="3">
        <v>3</v>
      </c>
      <c r="C11" s="3">
        <v>1</v>
      </c>
      <c r="D11" s="3">
        <v>4</v>
      </c>
      <c r="E11" s="3">
        <v>2</v>
      </c>
      <c r="F11" s="3">
        <v>5</v>
      </c>
      <c r="G11" s="15">
        <v>2</v>
      </c>
      <c r="H11">
        <v>7.0000000000000007E-2</v>
      </c>
      <c r="I11" t="s">
        <v>49</v>
      </c>
      <c r="J11" t="b">
        <v>1</v>
      </c>
    </row>
    <row r="12" spans="1:10" x14ac:dyDescent="0.2">
      <c r="A12" s="3">
        <v>10</v>
      </c>
      <c r="B12" s="3">
        <v>3</v>
      </c>
      <c r="C12" s="3">
        <v>1</v>
      </c>
      <c r="D12" s="3">
        <v>4</v>
      </c>
      <c r="E12" s="3">
        <v>3</v>
      </c>
      <c r="F12" s="3">
        <v>5</v>
      </c>
      <c r="G12" s="15">
        <v>3</v>
      </c>
      <c r="H12">
        <v>7.0000000000000007E-2</v>
      </c>
      <c r="I12" t="s">
        <v>49</v>
      </c>
      <c r="J12" t="b">
        <v>1</v>
      </c>
    </row>
    <row r="13" spans="1:10" x14ac:dyDescent="0.2">
      <c r="A13" s="3">
        <v>11</v>
      </c>
      <c r="B13" s="3">
        <v>3</v>
      </c>
      <c r="C13" s="3">
        <v>1</v>
      </c>
      <c r="D13" s="3">
        <v>4</v>
      </c>
      <c r="E13" s="3">
        <v>4</v>
      </c>
      <c r="F13" s="3">
        <v>5</v>
      </c>
      <c r="G13" s="15">
        <v>4</v>
      </c>
      <c r="H13">
        <v>7.0000000000000007E-2</v>
      </c>
      <c r="I13" t="s">
        <v>49</v>
      </c>
      <c r="J13" t="b">
        <v>1</v>
      </c>
    </row>
    <row r="14" spans="1:10" x14ac:dyDescent="0.2">
      <c r="A14" s="3">
        <v>12</v>
      </c>
      <c r="B14" s="3">
        <v>4</v>
      </c>
      <c r="C14" s="3">
        <v>1</v>
      </c>
      <c r="D14" s="3">
        <v>5</v>
      </c>
      <c r="E14" s="3">
        <v>1</v>
      </c>
      <c r="F14" s="3">
        <v>6</v>
      </c>
      <c r="G14" s="3">
        <v>1</v>
      </c>
      <c r="H14">
        <v>0.105</v>
      </c>
      <c r="I14" t="s">
        <v>49</v>
      </c>
      <c r="J14" t="b">
        <v>1</v>
      </c>
    </row>
    <row r="15" spans="1:10" x14ac:dyDescent="0.2">
      <c r="A15" s="3">
        <v>13</v>
      </c>
      <c r="B15" s="3">
        <v>4</v>
      </c>
      <c r="C15" s="3">
        <v>1</v>
      </c>
      <c r="D15" s="3">
        <v>5</v>
      </c>
      <c r="E15" s="3">
        <v>2</v>
      </c>
      <c r="F15" s="3">
        <v>6</v>
      </c>
      <c r="G15" s="3">
        <v>2</v>
      </c>
      <c r="H15">
        <v>0.105</v>
      </c>
      <c r="I15" t="s">
        <v>49</v>
      </c>
      <c r="J15" t="b">
        <v>1</v>
      </c>
    </row>
    <row r="16" spans="1:10" x14ac:dyDescent="0.2">
      <c r="A16" s="3">
        <v>14</v>
      </c>
      <c r="B16" s="3">
        <v>4</v>
      </c>
      <c r="C16" s="3">
        <v>1</v>
      </c>
      <c r="D16" s="3">
        <v>5</v>
      </c>
      <c r="E16" s="3">
        <v>3</v>
      </c>
      <c r="F16" s="3">
        <v>6</v>
      </c>
      <c r="G16" s="3">
        <v>3</v>
      </c>
      <c r="H16">
        <v>0.105</v>
      </c>
      <c r="I16" t="s">
        <v>49</v>
      </c>
      <c r="J16" t="b">
        <v>1</v>
      </c>
    </row>
    <row r="17" spans="1:10" x14ac:dyDescent="0.2">
      <c r="A17" s="3">
        <v>15</v>
      </c>
      <c r="B17" s="3">
        <v>4</v>
      </c>
      <c r="C17" s="3">
        <v>1</v>
      </c>
      <c r="D17" s="3">
        <v>5</v>
      </c>
      <c r="E17" s="3">
        <v>4</v>
      </c>
      <c r="F17" s="3">
        <v>6</v>
      </c>
      <c r="G17" s="3">
        <v>4</v>
      </c>
      <c r="H17">
        <v>0.105</v>
      </c>
      <c r="I17" t="s">
        <v>49</v>
      </c>
      <c r="J17" t="b">
        <v>1</v>
      </c>
    </row>
    <row r="18" spans="1:10" x14ac:dyDescent="0.2">
      <c r="A18" s="3">
        <v>16</v>
      </c>
      <c r="B18" s="3">
        <v>5</v>
      </c>
      <c r="C18" s="3">
        <v>1</v>
      </c>
      <c r="D18" s="3">
        <v>6</v>
      </c>
      <c r="E18" s="3">
        <v>1</v>
      </c>
      <c r="F18" s="3">
        <v>7</v>
      </c>
      <c r="G18" s="3">
        <v>1</v>
      </c>
      <c r="H18">
        <v>3.5000000000000003E-2</v>
      </c>
      <c r="I18" t="s">
        <v>49</v>
      </c>
      <c r="J18" t="b">
        <v>1</v>
      </c>
    </row>
    <row r="19" spans="1:10" x14ac:dyDescent="0.2">
      <c r="A19" s="3">
        <v>17</v>
      </c>
      <c r="B19" s="3">
        <v>5</v>
      </c>
      <c r="C19" s="3">
        <v>1</v>
      </c>
      <c r="D19" s="3">
        <v>6</v>
      </c>
      <c r="E19" s="3">
        <v>2</v>
      </c>
      <c r="F19" s="3">
        <v>7</v>
      </c>
      <c r="G19" s="3">
        <v>2</v>
      </c>
      <c r="H19">
        <v>3.5000000000000003E-2</v>
      </c>
      <c r="I19" t="s">
        <v>49</v>
      </c>
      <c r="J19" t="b">
        <v>1</v>
      </c>
    </row>
    <row r="20" spans="1:10" x14ac:dyDescent="0.2">
      <c r="A20" s="3">
        <v>18</v>
      </c>
      <c r="B20" s="3">
        <v>5</v>
      </c>
      <c r="C20" s="3">
        <v>1</v>
      </c>
      <c r="D20" s="3">
        <v>6</v>
      </c>
      <c r="E20" s="3">
        <v>3</v>
      </c>
      <c r="F20" s="3">
        <v>7</v>
      </c>
      <c r="G20" s="3">
        <v>3</v>
      </c>
      <c r="H20">
        <v>3.5000000000000003E-2</v>
      </c>
      <c r="I20" t="s">
        <v>49</v>
      </c>
      <c r="J20" t="b">
        <v>1</v>
      </c>
    </row>
    <row r="21" spans="1:10" x14ac:dyDescent="0.2">
      <c r="A21" s="3">
        <v>19</v>
      </c>
      <c r="B21" s="3">
        <v>5</v>
      </c>
      <c r="C21" s="3">
        <v>1</v>
      </c>
      <c r="D21" s="3">
        <v>6</v>
      </c>
      <c r="E21" s="3">
        <v>4</v>
      </c>
      <c r="F21" s="3">
        <v>7</v>
      </c>
      <c r="G21" s="3">
        <v>4</v>
      </c>
      <c r="H21">
        <v>3.5000000000000003E-2</v>
      </c>
      <c r="I21" t="s">
        <v>49</v>
      </c>
      <c r="J21" t="b">
        <v>1</v>
      </c>
    </row>
    <row r="22" spans="1:10" x14ac:dyDescent="0.2">
      <c r="A22" s="3">
        <v>20</v>
      </c>
      <c r="B22" s="3">
        <v>6</v>
      </c>
      <c r="C22" s="3">
        <v>4</v>
      </c>
      <c r="D22" s="3">
        <v>3</v>
      </c>
      <c r="E22" s="3">
        <v>1</v>
      </c>
      <c r="F22" s="3">
        <v>8</v>
      </c>
      <c r="G22" s="3">
        <v>1</v>
      </c>
      <c r="H22">
        <v>0.03</v>
      </c>
      <c r="I22" t="s">
        <v>49</v>
      </c>
      <c r="J22" t="b">
        <v>1</v>
      </c>
    </row>
    <row r="23" spans="1:10" x14ac:dyDescent="0.2">
      <c r="A23" s="3">
        <v>21</v>
      </c>
      <c r="B23" s="3">
        <v>6</v>
      </c>
      <c r="C23" s="3">
        <v>4</v>
      </c>
      <c r="D23" s="3">
        <v>3</v>
      </c>
      <c r="E23" s="3">
        <v>2</v>
      </c>
      <c r="F23" s="3">
        <v>8</v>
      </c>
      <c r="G23" s="3">
        <v>2</v>
      </c>
      <c r="H23">
        <v>0.03</v>
      </c>
      <c r="I23" t="s">
        <v>49</v>
      </c>
      <c r="J23" t="b">
        <v>1</v>
      </c>
    </row>
    <row r="24" spans="1:10" x14ac:dyDescent="0.2">
      <c r="A24" s="3">
        <v>22</v>
      </c>
      <c r="B24" s="3">
        <v>6</v>
      </c>
      <c r="C24" s="3">
        <v>4</v>
      </c>
      <c r="D24" s="3">
        <v>3</v>
      </c>
      <c r="E24" s="3">
        <v>3</v>
      </c>
      <c r="F24" s="3">
        <v>8</v>
      </c>
      <c r="G24" s="3">
        <v>3</v>
      </c>
      <c r="H24">
        <v>0.03</v>
      </c>
      <c r="I24" t="s">
        <v>49</v>
      </c>
      <c r="J24" t="b">
        <v>1</v>
      </c>
    </row>
    <row r="25" spans="1:10" x14ac:dyDescent="0.2">
      <c r="A25" s="3">
        <v>23</v>
      </c>
      <c r="B25" s="3">
        <v>6</v>
      </c>
      <c r="C25" s="3">
        <v>4</v>
      </c>
      <c r="D25" s="3">
        <v>3</v>
      </c>
      <c r="E25" s="3">
        <v>4</v>
      </c>
      <c r="F25" s="3">
        <v>8</v>
      </c>
      <c r="G25" s="3">
        <v>4</v>
      </c>
      <c r="H25">
        <v>0.03</v>
      </c>
      <c r="I25" t="s">
        <v>49</v>
      </c>
      <c r="J25" t="b">
        <v>1</v>
      </c>
    </row>
    <row r="26" spans="1:10" x14ac:dyDescent="0.2">
      <c r="A26" s="3">
        <v>24</v>
      </c>
      <c r="B26" s="3">
        <v>7</v>
      </c>
      <c r="C26" s="3">
        <v>2</v>
      </c>
      <c r="D26" s="3">
        <v>4</v>
      </c>
      <c r="E26" s="3">
        <v>1</v>
      </c>
      <c r="F26" s="3">
        <v>9</v>
      </c>
      <c r="G26" s="3">
        <v>1</v>
      </c>
      <c r="H26">
        <v>0.105</v>
      </c>
      <c r="I26" t="s">
        <v>49</v>
      </c>
      <c r="J26" t="b">
        <v>1</v>
      </c>
    </row>
    <row r="27" spans="1:10" x14ac:dyDescent="0.2">
      <c r="A27" s="3">
        <v>25</v>
      </c>
      <c r="B27" s="3">
        <v>7</v>
      </c>
      <c r="C27" s="3">
        <v>2</v>
      </c>
      <c r="D27" s="3">
        <v>4</v>
      </c>
      <c r="E27" s="3">
        <v>2</v>
      </c>
      <c r="F27" s="3">
        <v>9</v>
      </c>
      <c r="G27" s="3">
        <v>2</v>
      </c>
      <c r="H27">
        <v>0.105</v>
      </c>
      <c r="I27" t="s">
        <v>49</v>
      </c>
      <c r="J27" t="b">
        <v>1</v>
      </c>
    </row>
    <row r="28" spans="1:10" x14ac:dyDescent="0.2">
      <c r="A28" s="3">
        <v>26</v>
      </c>
      <c r="B28" s="3">
        <v>7</v>
      </c>
      <c r="C28" s="3">
        <v>2</v>
      </c>
      <c r="D28" s="3">
        <v>4</v>
      </c>
      <c r="E28" s="3">
        <v>3</v>
      </c>
      <c r="F28" s="3">
        <v>9</v>
      </c>
      <c r="G28" s="3">
        <v>3</v>
      </c>
      <c r="H28">
        <v>0.105</v>
      </c>
      <c r="I28" t="s">
        <v>49</v>
      </c>
      <c r="J28" t="b">
        <v>1</v>
      </c>
    </row>
    <row r="29" spans="1:10" x14ac:dyDescent="0.2">
      <c r="A29" s="3">
        <v>27</v>
      </c>
      <c r="B29" s="3">
        <v>7</v>
      </c>
      <c r="C29" s="3">
        <v>2</v>
      </c>
      <c r="D29" s="3">
        <v>4</v>
      </c>
      <c r="E29" s="3">
        <v>4</v>
      </c>
      <c r="F29" s="3">
        <v>9</v>
      </c>
      <c r="G29" s="3">
        <v>4</v>
      </c>
      <c r="H29">
        <v>0.105</v>
      </c>
      <c r="I29" t="s">
        <v>49</v>
      </c>
      <c r="J29" t="b">
        <v>1</v>
      </c>
    </row>
    <row r="30" spans="1:10" x14ac:dyDescent="0.2">
      <c r="A30" s="3">
        <v>28</v>
      </c>
      <c r="B30" s="3">
        <v>8</v>
      </c>
      <c r="C30" s="3">
        <v>3</v>
      </c>
      <c r="D30" s="3">
        <v>9</v>
      </c>
      <c r="E30" s="3">
        <v>1</v>
      </c>
      <c r="F30" s="3">
        <v>10</v>
      </c>
      <c r="G30" s="3">
        <v>1</v>
      </c>
      <c r="H30">
        <v>0.03</v>
      </c>
      <c r="I30" t="s">
        <v>49</v>
      </c>
      <c r="J30" t="b">
        <v>1</v>
      </c>
    </row>
    <row r="31" spans="1:10" x14ac:dyDescent="0.2">
      <c r="A31" s="3">
        <v>29</v>
      </c>
      <c r="B31" s="3">
        <v>8</v>
      </c>
      <c r="C31" s="3">
        <v>3</v>
      </c>
      <c r="D31" s="3">
        <v>9</v>
      </c>
      <c r="E31" s="3">
        <v>2</v>
      </c>
      <c r="F31" s="3">
        <v>10</v>
      </c>
      <c r="G31" s="3">
        <v>2</v>
      </c>
      <c r="H31">
        <v>0.03</v>
      </c>
      <c r="I31" t="s">
        <v>49</v>
      </c>
      <c r="J31" t="b">
        <v>1</v>
      </c>
    </row>
    <row r="32" spans="1:10" x14ac:dyDescent="0.2">
      <c r="A32" s="3">
        <v>30</v>
      </c>
      <c r="B32" s="3">
        <v>8</v>
      </c>
      <c r="C32" s="3">
        <v>3</v>
      </c>
      <c r="D32" s="3">
        <v>9</v>
      </c>
      <c r="E32" s="3">
        <v>3</v>
      </c>
      <c r="F32" s="3">
        <v>10</v>
      </c>
      <c r="G32" s="3">
        <v>3</v>
      </c>
      <c r="H32">
        <v>0.03</v>
      </c>
      <c r="I32" t="s">
        <v>49</v>
      </c>
      <c r="J32" t="b">
        <v>1</v>
      </c>
    </row>
    <row r="33" spans="1:10" x14ac:dyDescent="0.2">
      <c r="A33" s="3">
        <v>31</v>
      </c>
      <c r="B33" s="3">
        <v>8</v>
      </c>
      <c r="C33" s="3">
        <v>3</v>
      </c>
      <c r="D33" s="3">
        <v>9</v>
      </c>
      <c r="E33" s="3">
        <v>4</v>
      </c>
      <c r="F33" s="3">
        <v>10</v>
      </c>
      <c r="G33" s="3">
        <v>4</v>
      </c>
      <c r="H33">
        <v>0.03</v>
      </c>
      <c r="I33" t="s">
        <v>49</v>
      </c>
      <c r="J33" t="b">
        <v>1</v>
      </c>
    </row>
    <row r="34" spans="1:10" x14ac:dyDescent="0.2">
      <c r="A34" s="3">
        <v>32</v>
      </c>
      <c r="B34" s="3">
        <v>9</v>
      </c>
      <c r="C34" s="3">
        <v>6</v>
      </c>
      <c r="D34" s="3">
        <v>5</v>
      </c>
      <c r="E34" s="3">
        <v>1</v>
      </c>
      <c r="F34" s="3">
        <v>11</v>
      </c>
      <c r="G34" s="3">
        <v>1</v>
      </c>
      <c r="H34">
        <v>0.03</v>
      </c>
      <c r="I34" t="s">
        <v>49</v>
      </c>
      <c r="J34" t="b">
        <v>1</v>
      </c>
    </row>
    <row r="35" spans="1:10" x14ac:dyDescent="0.2">
      <c r="A35" s="3">
        <v>33</v>
      </c>
      <c r="B35" s="3">
        <v>9</v>
      </c>
      <c r="C35" s="3">
        <v>6</v>
      </c>
      <c r="D35" s="3">
        <v>5</v>
      </c>
      <c r="E35" s="3">
        <v>2</v>
      </c>
      <c r="F35" s="3">
        <v>11</v>
      </c>
      <c r="G35" s="3">
        <v>2</v>
      </c>
      <c r="H35">
        <v>0.03</v>
      </c>
      <c r="I35" t="s">
        <v>49</v>
      </c>
      <c r="J35" t="b">
        <v>1</v>
      </c>
    </row>
    <row r="36" spans="1:10" x14ac:dyDescent="0.2">
      <c r="A36" s="3">
        <v>34</v>
      </c>
      <c r="B36" s="3">
        <v>9</v>
      </c>
      <c r="C36" s="3">
        <v>6</v>
      </c>
      <c r="D36" s="3">
        <v>5</v>
      </c>
      <c r="E36" s="3">
        <v>3</v>
      </c>
      <c r="F36" s="3">
        <v>11</v>
      </c>
      <c r="G36" s="3">
        <v>3</v>
      </c>
      <c r="H36">
        <v>0.03</v>
      </c>
      <c r="I36" t="s">
        <v>49</v>
      </c>
      <c r="J36" t="b">
        <v>1</v>
      </c>
    </row>
    <row r="37" spans="1:10" x14ac:dyDescent="0.2">
      <c r="A37" s="3">
        <v>35</v>
      </c>
      <c r="B37" s="3">
        <v>9</v>
      </c>
      <c r="C37" s="3">
        <v>6</v>
      </c>
      <c r="D37" s="3">
        <v>5</v>
      </c>
      <c r="E37" s="3">
        <v>4</v>
      </c>
      <c r="F37" s="3">
        <v>11</v>
      </c>
      <c r="G37" s="3">
        <v>4</v>
      </c>
      <c r="H37">
        <v>0.03</v>
      </c>
      <c r="I37" t="s">
        <v>49</v>
      </c>
      <c r="J37" t="b">
        <v>1</v>
      </c>
    </row>
    <row r="38" spans="1:10" x14ac:dyDescent="0.2">
      <c r="A38" s="3">
        <v>36</v>
      </c>
      <c r="B38" s="3">
        <v>10</v>
      </c>
      <c r="C38" s="3">
        <v>4</v>
      </c>
      <c r="D38" s="3">
        <v>6</v>
      </c>
      <c r="E38" s="3">
        <v>1</v>
      </c>
      <c r="F38" s="3">
        <v>12</v>
      </c>
      <c r="G38" s="3">
        <v>1</v>
      </c>
      <c r="H38">
        <v>0.03</v>
      </c>
      <c r="I38" t="s">
        <v>49</v>
      </c>
      <c r="J38" t="b">
        <v>1</v>
      </c>
    </row>
    <row r="39" spans="1:10" x14ac:dyDescent="0.2">
      <c r="A39" s="3">
        <v>37</v>
      </c>
      <c r="B39" s="3">
        <v>10</v>
      </c>
      <c r="C39" s="3">
        <v>4</v>
      </c>
      <c r="D39" s="3">
        <v>6</v>
      </c>
      <c r="E39" s="3">
        <v>2</v>
      </c>
      <c r="F39" s="3">
        <v>12</v>
      </c>
      <c r="G39" s="3">
        <v>2</v>
      </c>
      <c r="H39">
        <v>0.03</v>
      </c>
      <c r="I39" t="s">
        <v>49</v>
      </c>
      <c r="J39" t="b">
        <v>1</v>
      </c>
    </row>
    <row r="40" spans="1:10" x14ac:dyDescent="0.2">
      <c r="A40" s="3">
        <v>38</v>
      </c>
      <c r="B40" s="3">
        <v>10</v>
      </c>
      <c r="C40" s="3">
        <v>4</v>
      </c>
      <c r="D40" s="3">
        <v>6</v>
      </c>
      <c r="E40" s="3">
        <v>3</v>
      </c>
      <c r="F40" s="3">
        <v>12</v>
      </c>
      <c r="G40" s="3">
        <v>3</v>
      </c>
      <c r="H40">
        <v>0.03</v>
      </c>
      <c r="I40" t="s">
        <v>49</v>
      </c>
      <c r="J40" t="b">
        <v>1</v>
      </c>
    </row>
    <row r="41" spans="1:10" x14ac:dyDescent="0.2">
      <c r="A41" s="3">
        <v>39</v>
      </c>
      <c r="B41" s="3">
        <v>10</v>
      </c>
      <c r="C41" s="3">
        <v>4</v>
      </c>
      <c r="D41" s="3">
        <v>6</v>
      </c>
      <c r="E41" s="3">
        <v>4</v>
      </c>
      <c r="F41" s="3">
        <v>12</v>
      </c>
      <c r="G41" s="3">
        <v>4</v>
      </c>
      <c r="H41">
        <v>0.03</v>
      </c>
      <c r="I41" t="s">
        <v>49</v>
      </c>
      <c r="J41" t="b">
        <v>1</v>
      </c>
    </row>
    <row r="42" spans="1:10" x14ac:dyDescent="0.2">
      <c r="A42" s="3">
        <v>40</v>
      </c>
      <c r="B42" s="3">
        <v>11</v>
      </c>
      <c r="C42" s="3">
        <v>5</v>
      </c>
      <c r="D42" s="3">
        <v>7</v>
      </c>
      <c r="E42" s="3">
        <v>1</v>
      </c>
      <c r="F42" s="3">
        <v>13</v>
      </c>
      <c r="G42" s="3">
        <v>1</v>
      </c>
      <c r="H42">
        <v>0.03</v>
      </c>
      <c r="I42" t="s">
        <v>49</v>
      </c>
      <c r="J42" t="b">
        <v>1</v>
      </c>
    </row>
    <row r="43" spans="1:10" x14ac:dyDescent="0.2">
      <c r="A43" s="3">
        <v>41</v>
      </c>
      <c r="B43" s="3">
        <v>11</v>
      </c>
      <c r="C43" s="3">
        <v>5</v>
      </c>
      <c r="D43" s="3">
        <v>7</v>
      </c>
      <c r="E43" s="3">
        <v>2</v>
      </c>
      <c r="F43" s="3">
        <v>13</v>
      </c>
      <c r="G43" s="3">
        <v>2</v>
      </c>
      <c r="H43">
        <v>0.03</v>
      </c>
      <c r="I43" t="s">
        <v>49</v>
      </c>
      <c r="J43" t="b">
        <v>1</v>
      </c>
    </row>
    <row r="44" spans="1:10" x14ac:dyDescent="0.2">
      <c r="A44" s="3">
        <v>42</v>
      </c>
      <c r="B44" s="3">
        <v>11</v>
      </c>
      <c r="C44" s="3">
        <v>5</v>
      </c>
      <c r="D44" s="3">
        <v>7</v>
      </c>
      <c r="E44" s="3">
        <v>3</v>
      </c>
      <c r="F44" s="3">
        <v>13</v>
      </c>
      <c r="G44" s="3">
        <v>3</v>
      </c>
      <c r="H44">
        <v>0.03</v>
      </c>
      <c r="I44" t="s">
        <v>49</v>
      </c>
      <c r="J44" t="b">
        <v>1</v>
      </c>
    </row>
    <row r="45" spans="1:10" x14ac:dyDescent="0.2">
      <c r="A45" s="3">
        <v>43</v>
      </c>
      <c r="B45" s="3">
        <v>11</v>
      </c>
      <c r="C45" s="3">
        <v>5</v>
      </c>
      <c r="D45" s="3">
        <v>7</v>
      </c>
      <c r="E45" s="3">
        <v>4</v>
      </c>
      <c r="F45" s="3">
        <v>13</v>
      </c>
      <c r="G45" s="3">
        <v>4</v>
      </c>
      <c r="H45">
        <v>0.03</v>
      </c>
      <c r="I45" t="s">
        <v>49</v>
      </c>
      <c r="J45" t="b">
        <v>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5"/>
  <sheetViews>
    <sheetView zoomScaleNormal="100" workbookViewId="0">
      <selection activeCell="A17" sqref="A17:B25"/>
    </sheetView>
  </sheetViews>
  <sheetFormatPr baseColWidth="10" defaultColWidth="9.1640625" defaultRowHeight="15" x14ac:dyDescent="0.2"/>
  <cols>
    <col min="4" max="4" width="11.5" bestFit="1" customWidth="1"/>
    <col min="8" max="8" width="18.5" bestFit="1" customWidth="1"/>
    <col min="9" max="9" width="17.5" bestFit="1" customWidth="1"/>
    <col min="10" max="10" width="17.6640625" bestFit="1" customWidth="1"/>
    <col min="11" max="11" width="17.5" bestFit="1" customWidth="1"/>
    <col min="14" max="14" width="10" bestFit="1" customWidth="1"/>
  </cols>
  <sheetData>
    <row r="1" spans="1:15" x14ac:dyDescent="0.2">
      <c r="A1" t="s">
        <v>38</v>
      </c>
      <c r="B1" t="s">
        <v>10</v>
      </c>
      <c r="C1" s="3" t="s">
        <v>24</v>
      </c>
      <c r="D1" s="3" t="s">
        <v>41</v>
      </c>
      <c r="E1" s="3" t="s">
        <v>42</v>
      </c>
      <c r="F1" s="3" t="s">
        <v>27</v>
      </c>
      <c r="G1" s="3" t="s">
        <v>26</v>
      </c>
      <c r="H1" s="3" t="s">
        <v>45</v>
      </c>
      <c r="I1" s="3" t="s">
        <v>46</v>
      </c>
      <c r="J1" s="3" t="s">
        <v>47</v>
      </c>
      <c r="K1" s="3" t="s">
        <v>48</v>
      </c>
      <c r="L1" s="3" t="s">
        <v>23</v>
      </c>
      <c r="M1" s="3" t="s">
        <v>39</v>
      </c>
      <c r="N1" s="3" t="s">
        <v>40</v>
      </c>
      <c r="O1" s="3" t="s">
        <v>0</v>
      </c>
    </row>
    <row r="2" spans="1:15" x14ac:dyDescent="0.2">
      <c r="A2">
        <v>0</v>
      </c>
      <c r="B2" t="str">
        <f>"load" &amp; C2</f>
        <v>load8</v>
      </c>
      <c r="C2" s="12">
        <v>8</v>
      </c>
      <c r="D2" s="12">
        <v>1</v>
      </c>
      <c r="E2">
        <v>4</v>
      </c>
      <c r="F2">
        <v>8.0000000000000002E-3</v>
      </c>
      <c r="G2" s="12">
        <v>3.8745768387028201E-3</v>
      </c>
      <c r="H2">
        <v>0</v>
      </c>
      <c r="I2">
        <v>0</v>
      </c>
      <c r="J2">
        <v>0</v>
      </c>
      <c r="K2">
        <v>0</v>
      </c>
      <c r="L2" s="4">
        <f t="shared" ref="L2:L16" si="0">ROUNDUP(SQRT(F2^2+G2^2), 2)</f>
        <v>0.01</v>
      </c>
      <c r="M2" s="4">
        <v>1</v>
      </c>
      <c r="N2" s="4" t="b">
        <v>1</v>
      </c>
      <c r="O2" t="s">
        <v>56</v>
      </c>
    </row>
    <row r="3" spans="1:15" x14ac:dyDescent="0.2">
      <c r="A3">
        <v>1</v>
      </c>
      <c r="B3" t="str">
        <f t="shared" ref="B3:B16" si="1">"load" &amp; C3</f>
        <v>load8</v>
      </c>
      <c r="C3" s="12">
        <v>8</v>
      </c>
      <c r="D3" s="12">
        <v>2</v>
      </c>
      <c r="E3">
        <v>4</v>
      </c>
      <c r="F3">
        <v>6.0000000000000001E-3</v>
      </c>
      <c r="G3" s="12">
        <v>2.9059326290271151E-3</v>
      </c>
      <c r="H3">
        <v>0</v>
      </c>
      <c r="I3">
        <v>0</v>
      </c>
      <c r="J3">
        <v>0</v>
      </c>
      <c r="K3">
        <v>0</v>
      </c>
      <c r="L3" s="4">
        <f t="shared" si="0"/>
        <v>0.01</v>
      </c>
      <c r="M3" s="4">
        <v>1</v>
      </c>
      <c r="N3" s="4" t="b">
        <v>1</v>
      </c>
      <c r="O3" t="s">
        <v>57</v>
      </c>
    </row>
    <row r="4" spans="1:15" x14ac:dyDescent="0.2">
      <c r="A4">
        <v>2</v>
      </c>
      <c r="B4" t="str">
        <f t="shared" si="1"/>
        <v>load8</v>
      </c>
      <c r="C4" s="12">
        <v>8</v>
      </c>
      <c r="D4" s="12">
        <v>3</v>
      </c>
      <c r="E4">
        <v>4</v>
      </c>
      <c r="F4">
        <v>3.4999999999999996E-3</v>
      </c>
      <c r="G4" s="12">
        <v>1.6951273669324838E-3</v>
      </c>
      <c r="H4">
        <v>0</v>
      </c>
      <c r="I4">
        <v>0</v>
      </c>
      <c r="J4">
        <v>0</v>
      </c>
      <c r="K4">
        <v>0</v>
      </c>
      <c r="L4" s="4">
        <f t="shared" si="0"/>
        <v>0.01</v>
      </c>
      <c r="M4" s="4">
        <v>1</v>
      </c>
      <c r="N4" s="4" t="b">
        <v>1</v>
      </c>
      <c r="O4" t="s">
        <v>58</v>
      </c>
    </row>
    <row r="5" spans="1:15" x14ac:dyDescent="0.2">
      <c r="A5">
        <v>3</v>
      </c>
      <c r="B5" t="str">
        <f t="shared" si="1"/>
        <v>load10</v>
      </c>
      <c r="C5" s="12">
        <v>10</v>
      </c>
      <c r="D5" s="12">
        <v>1</v>
      </c>
      <c r="E5">
        <v>4</v>
      </c>
      <c r="F5">
        <v>1.95E-2</v>
      </c>
      <c r="G5" s="12">
        <v>9.444281044338124E-3</v>
      </c>
      <c r="H5">
        <v>0</v>
      </c>
      <c r="I5">
        <v>0</v>
      </c>
      <c r="J5">
        <v>0</v>
      </c>
      <c r="K5">
        <v>0</v>
      </c>
      <c r="L5" s="4">
        <f t="shared" si="0"/>
        <v>0.03</v>
      </c>
      <c r="M5" s="4">
        <v>1</v>
      </c>
      <c r="N5" s="4" t="b">
        <v>1</v>
      </c>
      <c r="O5" t="s">
        <v>57</v>
      </c>
    </row>
    <row r="6" spans="1:15" x14ac:dyDescent="0.2">
      <c r="A6">
        <v>4</v>
      </c>
      <c r="B6" t="str">
        <f t="shared" si="1"/>
        <v>load10</v>
      </c>
      <c r="C6" s="12">
        <v>10</v>
      </c>
      <c r="D6" s="12">
        <v>2</v>
      </c>
      <c r="E6">
        <v>4</v>
      </c>
      <c r="F6">
        <v>2.0499999999999997E-2</v>
      </c>
      <c r="G6" s="12">
        <v>9.9286031491759765E-3</v>
      </c>
      <c r="H6">
        <v>0</v>
      </c>
      <c r="I6">
        <v>0</v>
      </c>
      <c r="J6">
        <v>0</v>
      </c>
      <c r="K6">
        <v>0</v>
      </c>
      <c r="L6" s="4">
        <f t="shared" si="0"/>
        <v>0.03</v>
      </c>
      <c r="M6" s="4">
        <v>1</v>
      </c>
      <c r="N6" s="4" t="b">
        <v>1</v>
      </c>
      <c r="O6" t="s">
        <v>57</v>
      </c>
    </row>
    <row r="7" spans="1:15" x14ac:dyDescent="0.2">
      <c r="A7">
        <v>5</v>
      </c>
      <c r="B7" t="str">
        <f t="shared" si="1"/>
        <v>load10</v>
      </c>
      <c r="C7" s="12">
        <v>10</v>
      </c>
      <c r="D7" s="12">
        <v>3</v>
      </c>
      <c r="E7">
        <v>4</v>
      </c>
      <c r="F7">
        <v>2.4E-2</v>
      </c>
      <c r="G7" s="12">
        <v>1.162373051610846E-2</v>
      </c>
      <c r="H7">
        <v>0</v>
      </c>
      <c r="I7">
        <v>0</v>
      </c>
      <c r="J7">
        <v>0</v>
      </c>
      <c r="K7">
        <v>0</v>
      </c>
      <c r="L7" s="4">
        <f t="shared" si="0"/>
        <v>0.03</v>
      </c>
      <c r="M7" s="4">
        <v>1</v>
      </c>
      <c r="N7" s="4" t="b">
        <v>1</v>
      </c>
      <c r="O7" t="s">
        <v>56</v>
      </c>
    </row>
    <row r="8" spans="1:15" x14ac:dyDescent="0.2">
      <c r="A8">
        <v>6</v>
      </c>
      <c r="B8" t="str">
        <f t="shared" si="1"/>
        <v>load11</v>
      </c>
      <c r="C8" s="12">
        <v>11</v>
      </c>
      <c r="D8" s="12">
        <v>1</v>
      </c>
      <c r="E8">
        <v>4</v>
      </c>
      <c r="F8">
        <v>1.2499999999999999E-2</v>
      </c>
      <c r="G8" s="12">
        <v>6.0540263104731564E-3</v>
      </c>
      <c r="H8">
        <v>0</v>
      </c>
      <c r="I8">
        <v>0</v>
      </c>
      <c r="J8">
        <v>0</v>
      </c>
      <c r="K8">
        <v>0</v>
      </c>
      <c r="L8" s="4">
        <f t="shared" si="0"/>
        <v>0.02</v>
      </c>
      <c r="M8" s="4">
        <v>1</v>
      </c>
      <c r="N8" s="4" t="b">
        <v>1</v>
      </c>
      <c r="O8" t="s">
        <v>58</v>
      </c>
    </row>
    <row r="9" spans="1:15" x14ac:dyDescent="0.2">
      <c r="A9">
        <v>7</v>
      </c>
      <c r="B9" t="str">
        <f t="shared" si="1"/>
        <v>load11</v>
      </c>
      <c r="C9" s="12">
        <v>11</v>
      </c>
      <c r="D9" s="12">
        <v>2</v>
      </c>
      <c r="E9">
        <v>4</v>
      </c>
      <c r="F9">
        <v>1.6500000000000001E-2</v>
      </c>
      <c r="G9" s="12">
        <v>7.9913147298245665E-3</v>
      </c>
      <c r="H9">
        <v>0</v>
      </c>
      <c r="I9">
        <v>0</v>
      </c>
      <c r="J9">
        <v>0</v>
      </c>
      <c r="K9">
        <v>0</v>
      </c>
      <c r="L9" s="4">
        <f t="shared" si="0"/>
        <v>0.02</v>
      </c>
      <c r="M9" s="4">
        <v>1</v>
      </c>
      <c r="N9" s="4" t="b">
        <v>1</v>
      </c>
      <c r="O9" t="s">
        <v>58</v>
      </c>
    </row>
    <row r="10" spans="1:15" x14ac:dyDescent="0.2">
      <c r="A10">
        <v>8</v>
      </c>
      <c r="B10" t="str">
        <f t="shared" si="1"/>
        <v>load11</v>
      </c>
      <c r="C10" s="12">
        <v>11</v>
      </c>
      <c r="D10" s="12">
        <v>3</v>
      </c>
      <c r="E10">
        <v>4</v>
      </c>
      <c r="F10">
        <v>1.3999999999999999E-2</v>
      </c>
      <c r="G10" s="12">
        <v>6.7805094677299352E-3</v>
      </c>
      <c r="H10">
        <v>0</v>
      </c>
      <c r="I10">
        <v>0</v>
      </c>
      <c r="J10">
        <v>0</v>
      </c>
      <c r="K10">
        <v>0</v>
      </c>
      <c r="L10" s="4">
        <f t="shared" si="0"/>
        <v>0.02</v>
      </c>
      <c r="M10" s="4">
        <v>1</v>
      </c>
      <c r="N10" s="4" t="b">
        <v>1</v>
      </c>
      <c r="O10" t="s">
        <v>56</v>
      </c>
    </row>
    <row r="11" spans="1:15" x14ac:dyDescent="0.2">
      <c r="A11">
        <v>9</v>
      </c>
      <c r="B11" t="str">
        <f t="shared" si="1"/>
        <v>load12</v>
      </c>
      <c r="C11" s="12">
        <v>12</v>
      </c>
      <c r="D11" s="12">
        <v>1</v>
      </c>
      <c r="E11">
        <v>4</v>
      </c>
      <c r="F11">
        <v>1.6E-2</v>
      </c>
      <c r="G11" s="12">
        <v>7.7491536774056402E-3</v>
      </c>
      <c r="H11">
        <v>0</v>
      </c>
      <c r="I11">
        <v>0</v>
      </c>
      <c r="J11">
        <v>0</v>
      </c>
      <c r="K11">
        <v>0</v>
      </c>
      <c r="L11" s="4">
        <f t="shared" si="0"/>
        <v>0.02</v>
      </c>
      <c r="M11" s="4">
        <v>1</v>
      </c>
      <c r="N11" s="4" t="b">
        <v>1</v>
      </c>
      <c r="O11" t="s">
        <v>57</v>
      </c>
    </row>
    <row r="12" spans="1:15" x14ac:dyDescent="0.2">
      <c r="A12">
        <v>10</v>
      </c>
      <c r="B12" t="str">
        <f t="shared" si="1"/>
        <v>load12</v>
      </c>
      <c r="C12" s="12">
        <v>12</v>
      </c>
      <c r="D12" s="12">
        <v>2</v>
      </c>
      <c r="E12">
        <v>4</v>
      </c>
      <c r="F12">
        <v>1.9E-2</v>
      </c>
      <c r="G12" s="12">
        <v>9.2021199919191977E-3</v>
      </c>
      <c r="H12">
        <v>0</v>
      </c>
      <c r="I12">
        <v>0</v>
      </c>
      <c r="J12">
        <v>0</v>
      </c>
      <c r="K12">
        <v>0</v>
      </c>
      <c r="L12" s="4">
        <f t="shared" si="0"/>
        <v>0.03</v>
      </c>
      <c r="M12" s="4">
        <v>1</v>
      </c>
      <c r="N12" s="4" t="b">
        <v>1</v>
      </c>
      <c r="O12" t="s">
        <v>56</v>
      </c>
    </row>
    <row r="13" spans="1:15" x14ac:dyDescent="0.2">
      <c r="A13">
        <v>11</v>
      </c>
      <c r="B13" t="str">
        <f t="shared" si="1"/>
        <v>load12</v>
      </c>
      <c r="C13" s="12">
        <v>12</v>
      </c>
      <c r="D13" s="12">
        <v>3</v>
      </c>
      <c r="E13">
        <v>4</v>
      </c>
      <c r="F13">
        <v>1.55E-2</v>
      </c>
      <c r="G13" s="12">
        <v>7.5069926249867139E-3</v>
      </c>
      <c r="H13">
        <v>0</v>
      </c>
      <c r="I13">
        <v>0</v>
      </c>
      <c r="J13">
        <v>0</v>
      </c>
      <c r="K13">
        <v>0</v>
      </c>
      <c r="L13" s="4">
        <f t="shared" si="0"/>
        <v>0.02</v>
      </c>
      <c r="M13" s="4">
        <v>1</v>
      </c>
      <c r="N13" s="4" t="b">
        <v>1</v>
      </c>
      <c r="O13" t="s">
        <v>56</v>
      </c>
    </row>
    <row r="14" spans="1:15" x14ac:dyDescent="0.2">
      <c r="A14">
        <v>12</v>
      </c>
      <c r="B14" t="str">
        <f t="shared" si="1"/>
        <v>load13</v>
      </c>
      <c r="C14" s="12">
        <v>13</v>
      </c>
      <c r="D14" s="12">
        <v>1</v>
      </c>
      <c r="E14">
        <v>4</v>
      </c>
      <c r="F14">
        <v>3.4999999999999996E-3</v>
      </c>
      <c r="G14" s="12">
        <v>1.6951273669324838E-3</v>
      </c>
      <c r="H14">
        <v>0</v>
      </c>
      <c r="I14">
        <v>0</v>
      </c>
      <c r="J14">
        <v>0</v>
      </c>
      <c r="K14">
        <v>0</v>
      </c>
      <c r="L14" s="4">
        <f t="shared" si="0"/>
        <v>0.01</v>
      </c>
      <c r="M14" s="4">
        <v>1</v>
      </c>
      <c r="N14" s="4" t="b">
        <v>1</v>
      </c>
      <c r="O14" t="s">
        <v>56</v>
      </c>
    </row>
    <row r="15" spans="1:15" x14ac:dyDescent="0.2">
      <c r="A15">
        <v>13</v>
      </c>
      <c r="B15" t="str">
        <f t="shared" si="1"/>
        <v>load13</v>
      </c>
      <c r="C15" s="12">
        <v>13</v>
      </c>
      <c r="D15" s="12">
        <v>2</v>
      </c>
      <c r="E15">
        <v>4</v>
      </c>
      <c r="F15">
        <v>6.0000000000000001E-3</v>
      </c>
      <c r="G15" s="12">
        <v>2.9059326290271151E-3</v>
      </c>
      <c r="H15">
        <v>0</v>
      </c>
      <c r="I15">
        <v>0</v>
      </c>
      <c r="J15">
        <v>0</v>
      </c>
      <c r="K15">
        <v>0</v>
      </c>
      <c r="L15" s="4">
        <f t="shared" si="0"/>
        <v>0.01</v>
      </c>
      <c r="M15" s="4">
        <v>1</v>
      </c>
      <c r="N15" s="4" t="b">
        <v>1</v>
      </c>
      <c r="O15" t="s">
        <v>58</v>
      </c>
    </row>
    <row r="16" spans="1:15" x14ac:dyDescent="0.2">
      <c r="A16">
        <v>14</v>
      </c>
      <c r="B16" t="str">
        <f t="shared" si="1"/>
        <v>load13</v>
      </c>
      <c r="C16" s="12">
        <v>13</v>
      </c>
      <c r="D16" s="12">
        <v>3</v>
      </c>
      <c r="E16">
        <v>4</v>
      </c>
      <c r="F16">
        <v>8.0000000000000002E-3</v>
      </c>
      <c r="G16" s="12">
        <v>3.8745768387028201E-3</v>
      </c>
      <c r="H16">
        <v>0</v>
      </c>
      <c r="I16">
        <v>0</v>
      </c>
      <c r="J16">
        <v>0</v>
      </c>
      <c r="K16">
        <v>0</v>
      </c>
      <c r="L16" s="4">
        <f t="shared" si="0"/>
        <v>0.01</v>
      </c>
      <c r="M16" s="4">
        <v>1</v>
      </c>
      <c r="N16" s="4" t="b">
        <v>1</v>
      </c>
      <c r="O16" t="s">
        <v>56</v>
      </c>
    </row>
    <row r="17" spans="3:15" x14ac:dyDescent="0.2"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3:15" x14ac:dyDescent="0.2"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3:15" x14ac:dyDescent="0.2"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3:15" x14ac:dyDescent="0.2"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3:15" x14ac:dyDescent="0.2"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3:15" x14ac:dyDescent="0.2"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3:15" x14ac:dyDescent="0.2"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3:15" x14ac:dyDescent="0.2"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3:15" x14ac:dyDescent="0.2"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1"/>
  <sheetViews>
    <sheetView tabSelected="1" topLeftCell="G1" zoomScaleNormal="100" workbookViewId="0">
      <selection activeCell="Q16" sqref="Q16"/>
    </sheetView>
  </sheetViews>
  <sheetFormatPr baseColWidth="10" defaultColWidth="9.1640625" defaultRowHeight="15" x14ac:dyDescent="0.2"/>
  <cols>
    <col min="5" max="5" width="11.5" bestFit="1" customWidth="1"/>
    <col min="9" max="9" width="17.6640625" bestFit="1" customWidth="1"/>
    <col min="10" max="10" width="17.6640625" customWidth="1"/>
    <col min="11" max="11" width="17.6640625" bestFit="1" customWidth="1"/>
    <col min="12" max="12" width="17.6640625" customWidth="1"/>
  </cols>
  <sheetData>
    <row r="1" spans="1:17" s="3" customFormat="1" x14ac:dyDescent="0.2">
      <c r="A1" s="3" t="s">
        <v>38</v>
      </c>
      <c r="B1" s="3" t="s">
        <v>10</v>
      </c>
      <c r="C1" s="3" t="s">
        <v>24</v>
      </c>
      <c r="D1" s="3" t="s">
        <v>43</v>
      </c>
      <c r="E1" s="3" t="s">
        <v>41</v>
      </c>
      <c r="F1" s="3" t="s">
        <v>42</v>
      </c>
      <c r="G1" s="3" t="s">
        <v>27</v>
      </c>
      <c r="H1" s="3" t="s">
        <v>26</v>
      </c>
      <c r="I1" s="3" t="s">
        <v>45</v>
      </c>
      <c r="J1" s="3" t="s">
        <v>46</v>
      </c>
      <c r="K1" s="3" t="s">
        <v>47</v>
      </c>
      <c r="L1" s="3" t="s">
        <v>48</v>
      </c>
      <c r="M1" s="3" t="s">
        <v>23</v>
      </c>
      <c r="N1" s="3" t="s">
        <v>39</v>
      </c>
      <c r="O1" s="3" t="s">
        <v>0</v>
      </c>
      <c r="P1" s="3" t="s">
        <v>40</v>
      </c>
      <c r="Q1" s="3" t="s">
        <v>44</v>
      </c>
    </row>
    <row r="2" spans="1:17" x14ac:dyDescent="0.2">
      <c r="A2">
        <v>0</v>
      </c>
      <c r="B2" t="str">
        <f>"gen" &amp; C2</f>
        <v>gen1</v>
      </c>
      <c r="C2">
        <v>1</v>
      </c>
      <c r="D2">
        <v>1</v>
      </c>
      <c r="E2">
        <v>1</v>
      </c>
      <c r="F2">
        <v>4</v>
      </c>
      <c r="G2">
        <v>100</v>
      </c>
      <c r="H2">
        <v>0</v>
      </c>
      <c r="I2">
        <v>1</v>
      </c>
      <c r="J2">
        <v>0</v>
      </c>
      <c r="K2">
        <v>1</v>
      </c>
      <c r="L2">
        <v>0</v>
      </c>
      <c r="M2">
        <v>120</v>
      </c>
      <c r="N2">
        <v>1</v>
      </c>
      <c r="O2" t="s">
        <v>25</v>
      </c>
      <c r="P2" t="b">
        <v>1</v>
      </c>
      <c r="Q2" t="b">
        <v>1</v>
      </c>
    </row>
    <row r="3" spans="1:17" x14ac:dyDescent="0.2">
      <c r="A3">
        <v>1</v>
      </c>
      <c r="B3" t="str">
        <f t="shared" ref="B3:B11" si="0">"gen" &amp; C3</f>
        <v>gen1</v>
      </c>
      <c r="C3">
        <v>1</v>
      </c>
      <c r="D3">
        <v>1</v>
      </c>
      <c r="E3">
        <v>2</v>
      </c>
      <c r="F3">
        <v>4</v>
      </c>
      <c r="G3">
        <v>100</v>
      </c>
      <c r="H3">
        <v>0</v>
      </c>
      <c r="I3">
        <v>1</v>
      </c>
      <c r="J3">
        <v>0</v>
      </c>
      <c r="K3">
        <v>1</v>
      </c>
      <c r="L3">
        <v>0</v>
      </c>
      <c r="M3">
        <v>120</v>
      </c>
      <c r="N3">
        <v>1</v>
      </c>
      <c r="O3" t="s">
        <v>25</v>
      </c>
      <c r="P3" t="b">
        <v>1</v>
      </c>
      <c r="Q3" t="b">
        <v>1</v>
      </c>
    </row>
    <row r="4" spans="1:17" x14ac:dyDescent="0.2">
      <c r="A4">
        <v>2</v>
      </c>
      <c r="B4" t="str">
        <f t="shared" si="0"/>
        <v>gen1</v>
      </c>
      <c r="C4">
        <v>1</v>
      </c>
      <c r="D4">
        <v>1</v>
      </c>
      <c r="E4">
        <v>3</v>
      </c>
      <c r="F4">
        <v>4</v>
      </c>
      <c r="G4">
        <v>100</v>
      </c>
      <c r="H4">
        <v>0</v>
      </c>
      <c r="I4">
        <v>1</v>
      </c>
      <c r="J4">
        <v>0</v>
      </c>
      <c r="K4">
        <v>1</v>
      </c>
      <c r="L4">
        <v>0</v>
      </c>
      <c r="M4">
        <v>120</v>
      </c>
      <c r="N4">
        <v>1</v>
      </c>
      <c r="O4" t="s">
        <v>25</v>
      </c>
      <c r="P4" t="b">
        <v>1</v>
      </c>
      <c r="Q4" t="b">
        <v>1</v>
      </c>
    </row>
    <row r="5" spans="1:17" x14ac:dyDescent="0.2">
      <c r="A5">
        <v>3</v>
      </c>
      <c r="B5" t="str">
        <f t="shared" si="0"/>
        <v>gen8</v>
      </c>
      <c r="C5" s="12">
        <v>8</v>
      </c>
      <c r="D5">
        <v>0</v>
      </c>
      <c r="E5" s="12">
        <v>2</v>
      </c>
      <c r="F5">
        <v>4</v>
      </c>
      <c r="G5">
        <v>0.01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>
        <v>120</v>
      </c>
      <c r="N5">
        <v>1</v>
      </c>
      <c r="O5" t="s">
        <v>59</v>
      </c>
      <c r="P5" t="b">
        <v>1</v>
      </c>
      <c r="Q5" t="b">
        <v>0</v>
      </c>
    </row>
    <row r="6" spans="1:17" x14ac:dyDescent="0.2">
      <c r="A6">
        <v>4</v>
      </c>
      <c r="B6" t="str">
        <f t="shared" si="0"/>
        <v>gen10</v>
      </c>
      <c r="C6" s="12">
        <v>10</v>
      </c>
      <c r="D6">
        <v>0</v>
      </c>
      <c r="E6" s="12">
        <v>1</v>
      </c>
      <c r="F6">
        <v>4</v>
      </c>
      <c r="G6">
        <v>0.02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>
        <v>120</v>
      </c>
      <c r="N6">
        <v>1</v>
      </c>
      <c r="O6" t="s">
        <v>59</v>
      </c>
      <c r="P6" t="b">
        <v>1</v>
      </c>
      <c r="Q6" t="b">
        <v>0</v>
      </c>
    </row>
    <row r="7" spans="1:17" x14ac:dyDescent="0.2">
      <c r="A7">
        <v>5</v>
      </c>
      <c r="B7" t="str">
        <f t="shared" si="0"/>
        <v>gen10</v>
      </c>
      <c r="C7" s="12">
        <v>10</v>
      </c>
      <c r="D7">
        <v>0</v>
      </c>
      <c r="E7" s="12">
        <v>2</v>
      </c>
      <c r="F7">
        <v>4</v>
      </c>
      <c r="G7">
        <v>0.02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>
        <v>120</v>
      </c>
      <c r="N7">
        <v>1</v>
      </c>
      <c r="O7" t="s">
        <v>59</v>
      </c>
      <c r="P7" t="b">
        <v>1</v>
      </c>
      <c r="Q7" t="b">
        <v>0</v>
      </c>
    </row>
    <row r="8" spans="1:17" x14ac:dyDescent="0.2">
      <c r="A8">
        <v>6</v>
      </c>
      <c r="B8" t="str">
        <f t="shared" si="0"/>
        <v>gen10</v>
      </c>
      <c r="C8" s="12">
        <v>10</v>
      </c>
      <c r="D8">
        <v>0</v>
      </c>
      <c r="E8" s="12">
        <v>3</v>
      </c>
      <c r="F8">
        <v>4</v>
      </c>
      <c r="G8">
        <v>0.35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>
        <v>120</v>
      </c>
      <c r="N8">
        <v>1</v>
      </c>
      <c r="O8" t="s">
        <v>59</v>
      </c>
      <c r="P8" t="b">
        <v>1</v>
      </c>
      <c r="Q8" t="b">
        <v>0</v>
      </c>
    </row>
    <row r="9" spans="1:17" x14ac:dyDescent="0.2">
      <c r="A9">
        <v>7</v>
      </c>
      <c r="B9" t="str">
        <f t="shared" si="0"/>
        <v>gen11</v>
      </c>
      <c r="C9" s="12">
        <v>11</v>
      </c>
      <c r="D9">
        <v>0</v>
      </c>
      <c r="E9" s="12">
        <v>2</v>
      </c>
      <c r="F9">
        <v>4</v>
      </c>
      <c r="G9">
        <v>0.1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>
        <v>120</v>
      </c>
      <c r="N9">
        <v>1</v>
      </c>
      <c r="O9" t="s">
        <v>59</v>
      </c>
      <c r="P9" t="b">
        <v>1</v>
      </c>
      <c r="Q9" t="b">
        <v>0</v>
      </c>
    </row>
    <row r="10" spans="1:17" x14ac:dyDescent="0.2">
      <c r="A10">
        <v>8</v>
      </c>
      <c r="B10" t="str">
        <f t="shared" si="0"/>
        <v>gen12</v>
      </c>
      <c r="C10" s="12">
        <v>12</v>
      </c>
      <c r="D10">
        <v>0</v>
      </c>
      <c r="E10" s="12">
        <v>1</v>
      </c>
      <c r="F10">
        <v>4</v>
      </c>
      <c r="G10">
        <v>0.15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>
        <v>120</v>
      </c>
      <c r="N10">
        <v>1</v>
      </c>
      <c r="O10" t="s">
        <v>59</v>
      </c>
      <c r="P10" t="b">
        <v>1</v>
      </c>
      <c r="Q10" t="b">
        <v>0</v>
      </c>
    </row>
    <row r="11" spans="1:17" x14ac:dyDescent="0.2">
      <c r="A11">
        <v>9</v>
      </c>
      <c r="B11" t="str">
        <f t="shared" si="0"/>
        <v>gen13</v>
      </c>
      <c r="C11" s="12">
        <v>13</v>
      </c>
      <c r="D11">
        <v>0</v>
      </c>
      <c r="E11" s="12">
        <v>3</v>
      </c>
      <c r="F11">
        <v>4</v>
      </c>
      <c r="G11">
        <v>0.21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>
        <v>120</v>
      </c>
      <c r="N11">
        <v>1</v>
      </c>
      <c r="O11" t="s">
        <v>59</v>
      </c>
      <c r="P11" t="b">
        <v>1</v>
      </c>
      <c r="Q11" t="b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D1E95CFDA8ED8488D3FD49E67BEB0FF" ma:contentTypeVersion="12" ma:contentTypeDescription="Creare un nuovo documento." ma:contentTypeScope="" ma:versionID="dcc9b1604aa2cb27f8705238ab9b9e74">
  <xsd:schema xmlns:xsd="http://www.w3.org/2001/XMLSchema" xmlns:xs="http://www.w3.org/2001/XMLSchema" xmlns:p="http://schemas.microsoft.com/office/2006/metadata/properties" xmlns:ns3="6134b4a6-a80e-4fb1-bb45-1b3d8322f153" xmlns:ns4="2e5f6473-bf24-4d8e-bd6a-01b44451650f" targetNamespace="http://schemas.microsoft.com/office/2006/metadata/properties" ma:root="true" ma:fieldsID="febefcec1f8162a055151690dd865f30" ns3:_="" ns4:_="">
    <xsd:import namespace="6134b4a6-a80e-4fb1-bb45-1b3d8322f153"/>
    <xsd:import namespace="2e5f6473-bf24-4d8e-bd6a-01b44451650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34b4a6-a80e-4fb1-bb45-1b3d8322f1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5f6473-bf24-4d8e-bd6a-01b44451650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0A3392C-7618-40FB-AD7D-792A24825C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2E798D-EFAF-4D5B-9232-D74EAE62F0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34b4a6-a80e-4fb1-bb45-1b3d8322f153"/>
    <ds:schemaRef ds:uri="2e5f6473-bf24-4d8e-bd6a-01b4445165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ABAA59-47A0-40F5-8F5B-7BBC889B1F59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2e5f6473-bf24-4d8e-bd6a-01b44451650f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6134b4a6-a80e-4fb1-bb45-1b3d8322f15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8</vt:i4>
      </vt:variant>
      <vt:variant>
        <vt:lpstr>Intervalli denominati</vt:lpstr>
      </vt:variant>
      <vt:variant>
        <vt:i4>7</vt:i4>
      </vt:variant>
    </vt:vector>
  </HeadingPairs>
  <TitlesOfParts>
    <vt:vector size="15" baseType="lpstr">
      <vt:lpstr>parameters</vt:lpstr>
      <vt:lpstr>wire_std_types</vt:lpstr>
      <vt:lpstr>configuration_std_types</vt:lpstr>
      <vt:lpstr>sequence_std_types</vt:lpstr>
      <vt:lpstr>bus</vt:lpstr>
      <vt:lpstr>line</vt:lpstr>
      <vt:lpstr>asymmetric_load</vt:lpstr>
      <vt:lpstr>asymmetric_gen</vt:lpstr>
      <vt:lpstr>bus!CIGRE_LV_buses_1</vt:lpstr>
      <vt:lpstr>wire_std_types!CIGRE_LV_wiredata_1_1</vt:lpstr>
      <vt:lpstr>configuration_std_types!UG2_2</vt:lpstr>
      <vt:lpstr>configuration_std_types!UG3_2</vt:lpstr>
      <vt:lpstr>configuration_std_types!UG4_2</vt:lpstr>
      <vt:lpstr>configuration_std_types!UG5_2</vt:lpstr>
      <vt:lpstr>configuration_std_types!UG6_2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Coppo Massimiliano</dc:creator>
  <cp:lastModifiedBy>Microsoft Office User</cp:lastModifiedBy>
  <dcterms:created xsi:type="dcterms:W3CDTF">2020-06-18T10:13:13Z</dcterms:created>
  <dcterms:modified xsi:type="dcterms:W3CDTF">2023-03-14T16:43:42Z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0x010100FD1E95CFDA8ED8488D3FD49E67BEB0FF</vt:lpwstr>
  </property>
</Properties>
</file>